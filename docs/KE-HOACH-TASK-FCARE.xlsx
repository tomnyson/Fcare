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Kế hoạch task" state="visible" r:id="rId5"/>
    <sheet sheetId="3" name="Lộ trình Sprint" state="visible" r:id="rId6"/>
    <sheet sheetId="4" name="Rủi ro" state="visible" r:id="rId7"/>
    <sheet sheetId="5" name="Vấn đề đang mở" state="visible" r:id="rId8"/>
    <sheet sheetId="6" name="Checklist nghiệm thu" state="visible" r:id="rId9"/>
  </sheets>
  <calcPr calcId="171027"/>
</workbook>
</file>

<file path=xl/sharedStrings.xml><?xml version="1.0" encoding="utf-8"?>
<sst xmlns="http://schemas.openxmlformats.org/spreadsheetml/2006/main" count="1452" uniqueCount="874">
  <si>
    <t>KẾ HOẠCH TASK CHI TIẾT — DỰ ÁN FCARE</t>
  </si>
  <si>
    <t>Hệ thống chăm sóc &amp; giám sát học vụ sinh viên — FPT Education  ·  Cập nhật 04/09/2026</t>
  </si>
  <si>
    <t>I. THÔNG TIN CHUNG</t>
  </si>
  <si>
    <t>Tên dự án</t>
  </si>
  <si>
    <t>FCare — Hệ thống chăm sóc &amp; giám sát học vụ sinh viên</t>
  </si>
  <si>
    <t>Đơn vị thụ hưởng</t>
  </si>
  <si>
    <t>FPT Education — Phòng Đào tạo, Phòng CTSV, các Bộ môn</t>
  </si>
  <si>
    <t>Mục tiêu</t>
  </si>
  <si>
    <t>Theo dõi, đánh giá, chăm sóc và cảnh báo sớm sinh viên có nguy cơ học vụ; số hoá dữ liệu học vụ từ file Excel hiện hành</t>
  </si>
  <si>
    <t>Kiến trúc</t>
  </si>
  <si>
    <t>Monorepo pnpm + Turborepo: apps/web (Next.js 15 App Router, Tailwind 4) · apps/api (NestJS 11, Prisma 6, PostgreSQL, Redis/BullMQ) · packages/shared-types (Zod), ui-kit, shared-config</t>
  </si>
  <si>
    <t>Quy mô mã nguồn</t>
  </si>
  <si>
    <t>25 model Prisma · 14 module API · 14 trang web · 35 tệp test đơn vị API · 8 kịch bản E2E Playwright</t>
  </si>
  <si>
    <t>Vai trò người dùng</t>
  </si>
  <si>
    <t>6 vai trò: Quản trị · Trưởng bộ môn · Giảng viên · Cán bộ Đào tạo · Cán bộ CTSV · Trưởng phòng CTSV</t>
  </si>
  <si>
    <t>Mốc bàn giao dự kiến</t>
  </si>
  <si>
    <t>14/11/2026 (kết thúc Sprint 5 — nghiệm thu)</t>
  </si>
  <si>
    <t>II. TỔNG HỢP KHỐI LƯỢNG</t>
  </si>
  <si>
    <t/>
  </si>
  <si>
    <t>Chỉ số</t>
  </si>
  <si>
    <t>Giá trị</t>
  </si>
  <si>
    <t>Ghi chú</t>
  </si>
  <si>
    <t>Tổng số task</t>
  </si>
  <si>
    <t>Toàn bộ vòng đời dự án, 12 giai đoạn</t>
  </si>
  <si>
    <t>Đã hoàn thành</t>
  </si>
  <si>
    <t>Đã có mã nguồn và đã kiểm chứng</t>
  </si>
  <si>
    <t>Đang làm</t>
  </si>
  <si>
    <t>Đang nằm trên nhánh feat/excel-import-admin-crud</t>
  </si>
  <si>
    <t>Chưa bắt đầu</t>
  </si>
  <si>
    <t>Khối lượng còn lại theo lộ trình Sprint 1-5</t>
  </si>
  <si>
    <t>Tỉ lệ hoàn thành</t>
  </si>
  <si>
    <t>Tính theo số task, chưa quy đổi theo công</t>
  </si>
  <si>
    <t>Tổng ước lượng (giờ)</t>
  </si>
  <si>
    <t>Công người-giờ cho toàn bộ vòng đời</t>
  </si>
  <si>
    <t>Công còn lại (giờ)</t>
  </si>
  <si>
    <t>Gồm cả task đang làm và chưa bắt đầu</t>
  </si>
  <si>
    <t>Task ưu tiên P0 chưa xong</t>
  </si>
  <si>
    <t>Phải xử lý hết trước khi nghiệm thu</t>
  </si>
  <si>
    <t>Rủi ro mức NGHIÊM TRỌNG/CAO</t>
  </si>
  <si>
    <t>Xem chi tiết ở sheet "Rủi ro"</t>
  </si>
  <si>
    <t>Vấn đề nghiệp vụ đang chờ chốt</t>
  </si>
  <si>
    <t>Xem sheet "Vấn đề đang mở" — có mục là điểm chặn</t>
  </si>
  <si>
    <t>III. CHÚ GIẢI</t>
  </si>
  <si>
    <t>Ưu tiên P0</t>
  </si>
  <si>
    <t>Bắt buộc — không hoàn thành thì không nghiệm thu được</t>
  </si>
  <si>
    <t>Ưu tiên P1</t>
  </si>
  <si>
    <t>Quan trọng — cần có trước khi vận hành chính thức</t>
  </si>
  <si>
    <t>Ưu tiên P2</t>
  </si>
  <si>
    <t>Nên có — nâng chất lượng sử dụng</t>
  </si>
  <si>
    <t>Ưu tiên P3</t>
  </si>
  <si>
    <t>Có thể lùi sang giai đoạn sau bàn giao</t>
  </si>
  <si>
    <t>Trạng thái: Hoàn thành</t>
  </si>
  <si>
    <t>Đã có mã nguồn, đã kiểm chứng, đã commit</t>
  </si>
  <si>
    <t>Trạng thái: Đang làm</t>
  </si>
  <si>
    <t>Đang thực hiện trên nhánh tính năng, chưa gộp vào main</t>
  </si>
  <si>
    <t>Trạng thái: Chưa bắt đầu</t>
  </si>
  <si>
    <t>Đã lên kế hoạch, chưa triển khai</t>
  </si>
  <si>
    <t>Ước lượng</t>
  </si>
  <si>
    <t>Đơn vị người-giờ, gồm cả viết test và tự kiểm</t>
  </si>
  <si>
    <t>IV. BỐN RULE BẢO MẬT BẮT BUỘC (áp dụng cho MỌI task, không ngoại lệ)</t>
  </si>
  <si>
    <t>RULE 1 — Cấm PII</t>
  </si>
  <si>
    <t>CẤM lưu/hiển thị CCCD/CMND, số điện thoại, email, địa chỉ của sinh viên và nhân viên. Không thêm các trường này vào schema, DTO, giao diện hay file Excel xuất ra. Ba lớp chặn: schema không có cột → PiiGuardInterceptor lọc response → import Excel từ chối cả file khi phát hiện.</t>
  </si>
  <si>
    <t>RULE 2 — Scope bộ môn</t>
  </si>
  <si>
    <t>Mọi truy vấn chạm sinh viên PHẢI đi qua deptFilter(user). Giảng viên và Trưởng bộ môn chỉ thấy sinh viên bộ môn mình.</t>
  </si>
  <si>
    <t>RULE 3 — Excel I/O theo vai trò</t>
  </si>
  <si>
    <t>Chỉ Trưởng bộ môn, Cán bộ Đào tạo, Cán bộ/Trưởng phòng CTSV và Quản trị được import/export. Giảng viên KHÔNG BAO GIỜ có quyền này.</t>
  </si>
  <si>
    <t>RULE 4 — Consent gate</t>
  </si>
  <si>
    <t>Mỗi lần đăng nhập phải ký cam kết không chia sẻ dữ liệu; chưa ký thì toàn bộ API bị chặn. Hệ thống không lưu email nên không xây bất kỳ luồng nào phụ thuộc email.</t>
  </si>
  <si>
    <t>Mã task</t>
  </si>
  <si>
    <t>Giai đoạn</t>
  </si>
  <si>
    <t>Hạng mục</t>
  </si>
  <si>
    <t>Tên task</t>
  </si>
  <si>
    <t>Mô tả chi tiết / Phạm vi công việc</t>
  </si>
  <si>
    <t>Sản phẩm bàn giao</t>
  </si>
  <si>
    <t>Tiêu chí nghiệm thu</t>
  </si>
  <si>
    <t>Vai trò phụ trách</t>
  </si>
  <si>
    <t>Phụ thuộc</t>
  </si>
  <si>
    <t>Ưu tiên</t>
  </si>
  <si>
    <t>Ước lượng (giờ)</t>
  </si>
  <si>
    <t>Trạng thái</t>
  </si>
  <si>
    <t>Rủi ro / Ghi chú</t>
  </si>
  <si>
    <t>HT-01</t>
  </si>
  <si>
    <t>GĐ0 — Nền tảng &amp; hạ tầng</t>
  </si>
  <si>
    <t>Monorepo</t>
  </si>
  <si>
    <t>Khởi tạo monorepo pnpm + Turborepo</t>
  </si>
  <si>
    <t>Dựng workspace `apps/web` (Next.js 15 App Router), `apps/api` (NestJS 11), `packages/shared-types|ui-kit|shared-config`; cấu hình pipeline turbo cho dev/build/lint/typecheck/test.</t>
  </si>
  <si>
    <t>`pnpm-workspace.yaml`, `turbo.json`, cấu trúc thư mục</t>
  </si>
  <si>
    <t>`pnpm dev` chạy song song web :3000 + api :3001; `pnpm build` xanh</t>
  </si>
  <si>
    <t>Kỹ sư nền tảng</t>
  </si>
  <si>
    <t>—</t>
  </si>
  <si>
    <t>P0</t>
  </si>
  <si>
    <t>Hoàn thành</t>
  </si>
  <si>
    <t>Baseline commit `fbf40ce`</t>
  </si>
  <si>
    <t>HT-02</t>
  </si>
  <si>
    <t>Chuẩn mã nguồn</t>
  </si>
  <si>
    <t>Cấu hình TypeScript, ESLint, Prettier dùng chung</t>
  </si>
  <si>
    <t>Preset tsconfig trong `packages/shared-config`; quy tắc lint chung cho FE/BE; `.prettierrc` toàn repo.</t>
  </si>
  <si>
    <t>`packages/shared-config/*`, `.prettierrc`</t>
  </si>
  <si>
    <t>`pnpm lint &amp;&amp; pnpm typecheck` xanh toàn repo</t>
  </si>
  <si>
    <t>HT-03</t>
  </si>
  <si>
    <t>Hạ tầng local</t>
  </si>
  <si>
    <t>Docker Compose PostgreSQL + Redis + Mailhog</t>
  </si>
  <si>
    <t>Compose file + Dockerfile cho web/api; biến `POSTGRES_PORT`/`REDIS_PORT` đổi được khi port bị chiếm.</t>
  </si>
  <si>
    <t>`infra/docker/docker-compose.yml`, Dockerfiles</t>
  </si>
  <si>
    <t>`docker compose up -d postgres redis` chạy được; hướng dẫn xử lý xung đột port có trong README</t>
  </si>
  <si>
    <t>DevOps</t>
  </si>
  <si>
    <t>Đã ghi cách kiểm tra port bằng `lsof` trong README</t>
  </si>
  <si>
    <t>HT-04</t>
  </si>
  <si>
    <t>Cơ sở dữ liệu</t>
  </si>
  <si>
    <t>Thiết kế schema Prisma lõi</t>
  </si>
  <si>
    <t>25 model + 8 enum: Department, Major, Subject, ClassSection, Staff, Role, Student, Enrollment, Evaluation, CareLog, Alert, Notification, AuditLog, ConsentLog, RefreshToken…</t>
  </si>
  <si>
    <t>`apps/api/prisma/schema.prisma` (521 dòng)</t>
  </si>
  <si>
    <t>Migration chạy sạch trên DB trống; KHÔNG có cột PII nào (CCCD/SĐT/email/địa chỉ)</t>
  </si>
  <si>
    <t>Kỹ sư backend</t>
  </si>
  <si>
    <t>Prisma pin v6 — không nâng v7 (breaking change datasource/driver adapter)</t>
  </si>
  <si>
    <t>HT-05</t>
  </si>
  <si>
    <t>Dữ liệu mẫu</t>
  </si>
  <si>
    <t>Seed 12 bộ môn thật, 10 ngành, 19 alias, 10 quy tắc lớp→ngành</t>
  </si>
  <si>
    <t>Thay 3 bộ môn giả (SE/AI/GD) bằng danh mục thật; seed tài khoản demo 6 vai trò, mật khẩu chung `Fcare@123`.</t>
  </si>
  <si>
    <t>`apps/api/prisma/seed.ts`, `seed-data.ts`</t>
  </si>
  <si>
    <t>Chạy seed 2 lần liên tiếp cho cùng kết quả (idempotent)</t>
  </si>
  <si>
    <t>Commit `81f9195`</t>
  </si>
  <si>
    <t>HT-06</t>
  </si>
  <si>
    <t>Chuẩn API</t>
  </si>
  <si>
    <t>Response envelope + HttpExceptionFilter + mã lỗi nghiệp vụ</t>
  </si>
  <si>
    <t>Mọi endpoint trả `{ success, data, error }`; ngoại lệ duy nhất là `StreamableFile` (Excel) và SSE dùng `@SkipEnvelope`.</t>
  </si>
  <si>
    <t>`common/interceptors`, `common/filters`</t>
  </si>
  <si>
    <t>Test hợp đồng xác nhận envelope; lỗi có `code` nghiệp vụ ổn định</t>
  </si>
  <si>
    <t>HT-07</t>
  </si>
  <si>
    <t>Tài liệu API</t>
  </si>
  <si>
    <t>Swagger tại `/api/docs`</t>
  </si>
  <si>
    <t>Sinh tài liệu tự động từ DTO + decorator; nhóm endpoint theo module.</t>
  </si>
  <si>
    <t>Swagger UI</t>
  </si>
  <si>
    <t>Mọi nhóm endpoint hiển thị đầy đủ, thử được ngay trên UI</t>
  </si>
  <si>
    <t>P1</t>
  </si>
  <si>
    <t>HT-08</t>
  </si>
  <si>
    <t>CI/CD</t>
  </si>
  <si>
    <t>Pipeline CI GitHub Actions</t>
  </si>
  <si>
    <t>Job `verify`: install → lint → typecheck → test → build, có concurrency cancel-in-progress.</t>
  </si>
  <si>
    <t>`.github/workflows/ci.yml`</t>
  </si>
  <si>
    <t>CI xanh trên mọi pull request</t>
  </si>
  <si>
    <t>Chưa có job E2E — xem KT-06</t>
  </si>
  <si>
    <t>HT-09</t>
  </si>
  <si>
    <t>Thiết kế</t>
  </si>
  <si>
    <t>Hệ token thiết kế FPT + ui-kit</t>
  </si>
  <si>
    <t>Token màu/typography/spacing trong `tokens.css` (cam #f27227, xanh #0066b3); component thương hiệu Button, SurfaceCard, Badge.</t>
  </si>
  <si>
    <t>`apps/web/src/styles/tokens.css`, `packages/ui-kit`</t>
  </si>
  <si>
    <t>Không hardcode màu trong component; kiểm tra tương phản WCAG AA</t>
  </si>
  <si>
    <t>Kỹ sư frontend</t>
  </si>
  <si>
    <t>Skill `design-taste` là nguồn chuẩn khi làm UI mới</t>
  </si>
  <si>
    <t>AT-01</t>
  </si>
  <si>
    <t>GĐ1 — Xác thực &amp; bảo mật</t>
  </si>
  <si>
    <t>Xác thực</t>
  </si>
  <si>
    <t>Đăng nhập mã NV + JWT xoay vòng</t>
  </si>
  <si>
    <t>Access token 15 phút, refresh 7 ngày có xoay vòng; lưu httpOnly cookie `fcare_access` / `fcare_refresh`; `apiFetch` phía web tự refresh khi gặp 401.</t>
  </si>
  <si>
    <t>`modules/auth/*`, `apps/web/src/lib/api.ts`</t>
  </si>
  <si>
    <t>Refresh token đã dùng bị vô hiệu; đăng xuất thu hồi toàn bộ phiên</t>
  </si>
  <si>
    <t>Không có email trong DB → không xây luồng khôi phục qua email</t>
  </si>
  <si>
    <t>AT-02</t>
  </si>
  <si>
    <t>Bắt buộc đổi mật khẩu tạm</t>
  </si>
  <si>
    <t>Tài khoản do quản trị cấp bị chặn toàn bộ API với mã `PASSWORD_CHANGE_REQUIRED` cho đến khi đổi mật khẩu.</t>
  </si>
  <si>
    <t>`modules/auth`, trang `/change-password`</t>
  </si>
  <si>
    <t>Người dùng mới không gọi được API nghiệp vụ nào trước khi đổi mật khẩu</t>
  </si>
  <si>
    <t>Full-stack</t>
  </si>
  <si>
    <t>AT-03</t>
  </si>
  <si>
    <t>Tuân thủ</t>
  </si>
  <si>
    <t>Consent gate — ký cam kết mỗi lần đăng nhập</t>
  </si>
  <si>
    <t>`ConsentGuard` chặn mọi API (trừ `@SkipConsent`) với mã `CONSENT_REQUIRED`; ghi `ConsentLog` mỗi lần ký.</t>
  </si>
  <si>
    <t>`common/guards/consent.guard.ts`, trang `/consent`</t>
  </si>
  <si>
    <t>Chưa ký → mọi API trả `CONSENT_REQUIRED`; có bản ghi nhật ký cho từng lần ký</t>
  </si>
  <si>
    <t>Yêu cầu bắt buộc từ tài liệu nghiệp vụ</t>
  </si>
  <si>
    <t>AT-04</t>
  </si>
  <si>
    <t>Phân quyền</t>
  </si>
  <si>
    <t>RBAC bằng CASL cho 6 vai trò</t>
  </si>
  <si>
    <t>Định nghĩa ability theo vai trò; decorator `@CheckPolicies` trên mọi endpoint; LECTURER không bao giờ có quyền `import`/`export`.</t>
  </si>
  <si>
    <t>`modules/auth/casl/*`</t>
  </si>
  <si>
    <t>Test quyền: LECTURER gọi `/imports` → 403</t>
  </si>
  <si>
    <t>RULE 3 bắt buộc</t>
  </si>
  <si>
    <t>AT-05</t>
  </si>
  <si>
    <t>Scope bộ môn `deptFilter` cho mọi truy vấn sinh viên</t>
  </si>
  <si>
    <t>Mọi query chạm bảng `Student` đi qua `deptFilter(user)`; LECTURER/HEAD_OF_DEPT chỉ thấy sinh viên bộ môn mình.</t>
  </si>
  <si>
    <t>`common/utils/dept-scope.ts`</t>
  </si>
  <si>
    <t>Test: TBM bộ môn A không đọc được sinh viên bộ môn B qua bất kỳ endpoint nào</t>
  </si>
  <si>
    <t>RULE 2 bắt buộc</t>
  </si>
  <si>
    <t>AT-06</t>
  </si>
  <si>
    <t>Bảo vệ PII</t>
  </si>
  <si>
    <t>`PiiGuardInterceptor` lọc dữ liệu cá nhân khỏi response</t>
  </si>
  <si>
    <t>Đăng ký `APP_INTERCEPTOR` toàn cục, quét key khớp mẫu PII trong mọi response trước khi trả về.</t>
  </si>
  <si>
    <t>`common/interceptors/pii-guard.interceptor.ts`</t>
  </si>
  <si>
    <t>Không controller nào ghi đè interceptor; test hồi quy trên response mẫu</t>
  </si>
  <si>
    <t>Lớp phòng thủ 2/3 của RULE 1</t>
  </si>
  <si>
    <t>AT-07</t>
  </si>
  <si>
    <t>Chống tấn công</t>
  </si>
  <si>
    <t>CSRF header + Helmet + Throttler</t>
  </si>
  <si>
    <t>Mutation dùng cookie-auth phải kèm `X-Requested-With: XMLHttpRequest`; guard chain: Throttler → Csrf → JwtAuth → Consent → Policies.</t>
  </si>
  <si>
    <t>`common/guards/*`, `app.module.ts`</t>
  </si>
  <si>
    <t>Gọi mutation thiếu header → bị từ chối; vượt ngưỡng rate limit → 429</t>
  </si>
  <si>
    <t>Không đổi thứ tự guard chain</t>
  </si>
  <si>
    <t>AT-08</t>
  </si>
  <si>
    <t>Truy vết</t>
  </si>
  <si>
    <t>Audit log cho thao tác nhạy cảm</t>
  </si>
  <si>
    <t>Ghi `AuditLog` cho import/export, sửa điểm, gán ngành hàng loạt, thao tác quản trị người dùng.</t>
  </si>
  <si>
    <t>`modules/admin`, `AuditService`</t>
  </si>
  <si>
    <t>Mỗi thao tác nhạy cảm sinh đúng 1 bản ghi kèm actor, action, payload rút gọn</t>
  </si>
  <si>
    <t>Commit `0d3ccdc` bổ sung truy vết sửa điểm</t>
  </si>
  <si>
    <t>AT-09</t>
  </si>
  <si>
    <t>Rà soát</t>
  </si>
  <si>
    <t>Rà soát bảo mật độc lập trước nghiệm thu</t>
  </si>
  <si>
    <t>Đối chiếu OWASP Top 10; kiểm secret trong mã nguồn; rà toàn bộ endpoint mới có `@CheckPolicies`; xác minh 3 lớp chặn PII còn nguyên vẹn.</t>
  </si>
  <si>
    <t>Báo cáo rà soát + danh sách phát hiện phân mức</t>
  </si>
  <si>
    <t>Không còn phát hiện mức CRITICAL/HIGH</t>
  </si>
  <si>
    <t>Chuyên gia bảo mật</t>
  </si>
  <si>
    <t>AT-01…AT-08</t>
  </si>
  <si>
    <t>Phải xong trước khi bàn giao</t>
  </si>
  <si>
    <t>QT-01</t>
  </si>
  <si>
    <t>GĐ2 — Danh mục &amp; quản trị</t>
  </si>
  <si>
    <t>Danh mục</t>
  </si>
  <si>
    <t>CRUD bộ môn, ngành, môn học, lớp học phần</t>
  </si>
  <si>
    <t>Service + controller + DTO cho 4 danh mục; `lecturerId` của lớp học phần cho phép null (lớp chưa phân công).</t>
  </si>
  <si>
    <t>`modules/master-data/*`</t>
  </si>
  <si>
    <t>Test đơn vị phủ create/update/delete + ràng buộc khoá ngoại</t>
  </si>
  <si>
    <t>QT-02</t>
  </si>
  <si>
    <t>Ánh xạ</t>
  </si>
  <si>
    <t>CRUD bảng ánh xạ `DepartmentAlias` và `ClassMajorRule`</t>
  </si>
  <si>
    <t>Hai bảng tra cứu phục vụ import: alias tên bộ môn trong file Excel → mã bộ môn; quy tắc tiền tố mã lớp → ngành.</t>
  </si>
  <si>
    <t>`mappings.service.ts`, `dto/mapping.dto.ts`, 2 controller</t>
  </si>
  <si>
    <t>Sửa ánh xạ rồi import lại thì dòng trước đó báo "chưa có ánh xạ" được nhận đúng</t>
  </si>
  <si>
    <t>Commit `b9e61b6`</t>
  </si>
  <si>
    <t>QT-03</t>
  </si>
  <si>
    <t>Người dùng</t>
  </si>
  <si>
    <t>Quản trị tài khoản: tạo, gán vai trò, khoá/mở, cấp mật khẩu tạm</t>
  </si>
  <si>
    <t>Không có luồng reset qua email (hệ thống không lưu email) → quản trị viên cấp mật khẩu tạm, người dùng bắt buộc đổi khi đăng nhập.</t>
  </si>
  <si>
    <t>`modules/admin`, trang `/admin/users`</t>
  </si>
  <si>
    <t>Quản trị tạo tài khoản mới và người đó đăng nhập được sau khi đổi mật khẩu</t>
  </si>
  <si>
    <t>Cột "Loại GV" đã bổ sung ở vòng sửa Task 13</t>
  </si>
  <si>
    <t>QT-04</t>
  </si>
  <si>
    <t>Giao diện</t>
  </si>
  <si>
    <t>Màn hình danh mục theo tab, trạng thái lọc đẩy lên URL</t>
  </si>
  <si>
    <t>`/master-data/[tab]` với `useSearchParams` là nguồn sự thật, bọc `&lt;Suspense&gt;` theo yêu cầu Next 15.</t>
  </si>
  <si>
    <t>`master-data-view.tsx`, `mapping-view.tsx`, `master-data-tabs.ts`</t>
  </si>
  <si>
    <t>Sao chép URL sang tab trình duyệt khác cho ra đúng bộ lọc; nút back hoạt động đúng</t>
  </si>
  <si>
    <t>Commit `07f69a7`</t>
  </si>
  <si>
    <t>QT-05</t>
  </si>
  <si>
    <t>Màn hình tra cứu nhật ký audit</t>
  </si>
  <si>
    <t>Bảng tra cứu `AuditLog` có lọc theo người thực hiện / hành động / khoảng thời gian, phân trang; chỉ ADMIN xem được.</t>
  </si>
  <si>
    <t>Trang `/admin/audit-logs`</t>
  </si>
  <si>
    <t>Tra được toàn bộ thao tác import/sửa điểm trong 30 ngày; có phân trang bắt buộc</t>
  </si>
  <si>
    <t>P2</t>
  </si>
  <si>
    <t>Dữ liệu đã ghi đủ, chỉ thiếu giao diện</t>
  </si>
  <si>
    <t>SV-01</t>
  </si>
  <si>
    <t>GĐ3 — Sinh viên &amp; học vụ</t>
  </si>
  <si>
    <t>Danh sách</t>
  </si>
  <si>
    <t>Trang sinh viên: lọc trên URL, tìm kiếm, phân trang, chọn nhiều dòng</t>
  </si>
  <si>
    <t>Bộ lọc bộ môn/ngành/khoá/trạng thái/"chưa gán ngành" đồng bộ với search params; tìm kiếm đồng bộ giữa ô nhập và URL.</t>
  </si>
  <si>
    <t>`app/(dashboard)/students/page.tsx`, `lib/student-filters.ts`</t>
  </si>
  <si>
    <t>Bộ lọc chia sẻ được qua URL; phân trang không mất lựa chọn đang chọn</t>
  </si>
  <si>
    <t>Commit `fd4faf5` đã đồng bộ ô tìm kiếm</t>
  </si>
  <si>
    <t>SV-02</t>
  </si>
  <si>
    <t>Hồ sơ</t>
  </si>
  <si>
    <t>Hồ sơ sinh viên và các tab nghiệp vụ</t>
  </si>
  <si>
    <t>Tab lớp học phần/điểm, đánh giá, nhật ký chăm sóc, cảnh báo; tuyệt đối không hiển thị CCCD/SĐT/email/địa chỉ.</t>
  </si>
  <si>
    <t>`components/students/*`, `/students/[id]`</t>
  </si>
  <si>
    <t>Kiểm tra thủ công: không trường PII nào xuất hiện trên giao diện hay trong payload</t>
  </si>
  <si>
    <t>RULE 1</t>
  </si>
  <si>
    <t>SV-03</t>
  </si>
  <si>
    <t>Điểm</t>
  </si>
  <si>
    <t>Bảng điểm theo lớp học phần, sửa tại chỗ</t>
  </si>
  <si>
    <t>`GET/PATCH /class-sections/:id/grades`; sửa theo lô, làm tròn điểm nhất quán; mỗi lần sửa ghi audit.</t>
  </si>
  <si>
    <t>`class-sections.service.ts`, `section-grades-view.tsx`</t>
  </si>
  <si>
    <t>Sửa 20 dòng trong một lần lưu; audit ghi đủ giá trị trước/sau</t>
  </si>
  <si>
    <t>Commit `c796114`, `fd4faf5`</t>
  </si>
  <si>
    <t>SV-04</t>
  </si>
  <si>
    <t>Nghiệp vụ</t>
  </si>
  <si>
    <t>Gán ngành hàng loạt có chặn khác bộ môn</t>
  </si>
  <si>
    <t>`PATCH /students/bulk-assign-major`; `deptFilter(user)` nằm ngay trong `where` của `updateMany`; đồng bộ `departmentId`; audit `STUDENT_BULK_ASSIGN_MAJOR`.</t>
  </si>
  <si>
    <t>`students.service.ts`, `students.controller.ts`</t>
  </si>
  <si>
    <t>TBM không gán được sinh viên ngoài bộ môn; cảnh báo rõ khi ngành khác bộ môn</t>
  </si>
  <si>
    <t>SV-01, AT-05</t>
  </si>
  <si>
    <t>Bổ sung so với spec gốc (spec thiếu endpoint)</t>
  </si>
  <si>
    <t>SV-05</t>
  </si>
  <si>
    <t>Chất lượng dữ liệu</t>
  </si>
  <si>
    <t>Bộ lọc dữ liệu thiếu sau import</t>
  </si>
  <si>
    <t>Lọc `missingMajor` (sinh viên chưa gán ngành) và `unassigned` (lớp học phần chưa có giảng viên) để quản trị dọn dữ liệu ngay sau khi import.</t>
  </si>
  <si>
    <t>`students.service.ts`, `class-sections.service.ts`</t>
  </si>
  <si>
    <t>Sau khi import file thật, hai bộ lọc chỉ đúng tập dòng cần xử lý</t>
  </si>
  <si>
    <t>IM-08</t>
  </si>
  <si>
    <t>CB-01</t>
  </si>
  <si>
    <t>GĐ4 — Đánh giá &amp; cảnh báo</t>
  </si>
  <si>
    <t>Đánh giá</t>
  </si>
  <si>
    <t>Đánh giá học lực/thái độ thang 1-10, nhóm vấn đề 1-4</t>
  </si>
  <si>
    <t>Form đánh giá theo kỳ, lưu lịch sử; hiển thị hướng dẫn chấm ngay cạnh trường nhập.</t>
  </si>
  <si>
    <t>`modules/evaluations`, `evaluations-tab.tsx`, `evaluation-guidance.tsx`</t>
  </si>
  <si>
    <t>Test đơn vị phủ ràng buộc thang điểm và nhóm vấn đề</t>
  </si>
  <si>
    <t>CB-02</t>
  </si>
  <si>
    <t>Gợi ý độ khẩn `URGENCY_RULES`</t>
  </si>
  <si>
    <t>Quy tắc suy độ khẩn 1-4 từ điểm và nhóm vấn đề, đặt tập trung một chỗ để đổi được khi Trường ban hành công thức chính thức. Gợi ý chỉ pre-fill form — hệ thống không tự nâng cảnh báo.</t>
  </si>
  <si>
    <t>`packages/shared-types/src/evaluations.ts`</t>
  </si>
  <si>
    <t>Đổi công thức chỉ cần sửa đúng một tệp</t>
  </si>
  <si>
    <t>⚠ Công thức hiện tại là ĐỀ XUẤT của hệ thống, tài liệu nghiệp vụ chưa quy định — xem VD-01</t>
  </si>
  <si>
    <t>CB-03</t>
  </si>
  <si>
    <t>Chăm sóc</t>
  </si>
  <si>
    <t>Nhật ký chăm sóc sinh viên</t>
  </si>
  <si>
    <t>Ghi nhận buổi trao đổi theo kênh (gặp trực tiếp/điện thoại/khác), nội dung, kết quả; hiển thị theo dòng thời gian.</t>
  </si>
  <si>
    <t>`modules/care-logs`, `care-logs-tab.tsx`</t>
  </si>
  <si>
    <t>Giảng viên ghi được nhật ký cho sinh viên trong bộ môn mình, không ghi được ngoài bộ môn</t>
  </si>
  <si>
    <t>CB-04</t>
  </si>
  <si>
    <t>Cảnh báo</t>
  </si>
  <si>
    <t>Cảnh báo 4 mức + escalation qua BullMQ</t>
  </si>
  <si>
    <t>Mức 2 → TBM; mức 3 → thêm Đào tạo; mức 4 → thêm CTSV + mọi GV đang dạy (lý do ≥ 40 ký tự). Queue `alert-escalation`, retry 3 lần backoff, enqueue timeout 1,5s → fallback gửi đồng bộ; idempotent nhờ unique `(alertId, recipientId)`.</t>
  </si>
  <si>
    <t>`modules/alerts/escalation.service.ts`</t>
  </si>
  <si>
    <t>Tắt Redis: thông báo vẫn tới đích qua nhánh đồng bộ; chạy lại job không sinh thông báo trùng</t>
  </si>
  <si>
    <t>⚠ Ma trận người nhận đang chờ Trường chốt — xem VD-02</t>
  </si>
  <si>
    <t>CB-05</t>
  </si>
  <si>
    <t>Realtime</t>
  </si>
  <si>
    <t>Thông báo realtime bằng SSE + polling dự phòng</t>
  </si>
  <si>
    <t>`GET /notifications/stream` (auth cookie, heartbeat 25s, `@SkipEnvelope`); web tự reconnect và refresh token; polling 120s làm lưới an toàn.</t>
  </si>
  <si>
    <t>`modules/notifications`, `use-notification-stream.ts`</t>
  </si>
  <si>
    <t>Mất mạng 60s rồi nối lại: không mất thông báo nào</t>
  </si>
  <si>
    <t>Không chuyển sang WebSocket khi chưa có yêu cầu</t>
  </si>
  <si>
    <t>CB-06</t>
  </si>
  <si>
    <t>Chốt công thức điểm→độ khẩn và ma trận người nhận với Nhà trường</t>
  </si>
  <si>
    <t>Làm việc với phòng Đào tạo/CTSV để chốt bản chuẩn; sau khi chốt mới sửa `escalation.service.ts` + `URGENCY_RULES`.</t>
  </si>
  <si>
    <t>Biên bản chốt nghiệp vụ + bản cập nhật mã nguồn</t>
  </si>
  <si>
    <t>Có văn bản chốt; test escalation cập nhật theo ma trận mới</t>
  </si>
  <si>
    <t>BA / Chủ nhiệm dự án</t>
  </si>
  <si>
    <t>🚩 ĐIỂM CHẶN — tài liệu II.1 và II.2 mâu thuẫn nhau, không tự sửa</t>
  </si>
  <si>
    <t>IM-01</t>
  </si>
  <si>
    <t>GĐ5 — Import/Export Excel</t>
  </si>
  <si>
    <t>Chặn PII</t>
  </si>
  <si>
    <t>Quét giá trị ô mọi sheet để bắt PII không có header</t>
  </si>
  <si>
    <t>Sheet `T.Kê` có 32 email ở cột I nhưng KHÔNG có header nên chốt chặn theo header bỏ lọt. Bổ sung `assertNoForbiddenValues()` quét giá trị mọi ô, mọi sheet, chạy TRƯỚC mọi bước khác và từ chối cả file.</t>
  </si>
  <si>
    <t>`excel/excel-utils.ts`, `excel-utils.spec.ts`</t>
  </si>
  <si>
    <t>Bắt đúng 32/32 email trên file thật, 0 báo nhầm trên cả hai file nguồn</t>
  </si>
  <si>
    <t>Lớp phòng thủ 3/3 của RULE 1 · commit `0fddfb1`</t>
  </si>
  <si>
    <t>IM-02</t>
  </si>
  <si>
    <t>Schema staging `ImportBatch` / `ImportRow` + 2 enum</t>
  </si>
  <si>
    <t>Bảng trung gian giữa phân tích và ghi DB: `ImportKind`, `ImportStatus`; đồng thời nới ràng buộc `ClassSection.lecturerId`, `Student.majorId` cho phép null.</t>
  </si>
  <si>
    <t>3 migration Prisma</t>
  </si>
  <si>
    <t>Migration chạy sạch; toàn bộ lỗi kiểu phát sinh ở FE/BE đã sửa hết</t>
  </si>
  <si>
    <t>Commit `2195d05`</t>
  </si>
  <si>
    <t>IM-03</t>
  </si>
  <si>
    <t>Tiện ích</t>
  </si>
  <si>
    <t>Định vị header theo tên và chuẩn hoá mã lớp</t>
  </si>
  <si>
    <t>Hai hàm thuần: `header-locator` (tìm cột theo tên header đã chuẩn hoá, không dựa vào vị trí) và `class-code` (phân loại mã lớp, suy khoá, sinh `ClassSection.code`).</t>
  </si>
  <si>
    <t>`parsers/header-locator.ts`, `parsers/class-code.ts`</t>
  </si>
  <si>
    <t>Test phủ các biến thể tên header và mã lớp thật trong file nguồn</t>
  </si>
  <si>
    <t>Commit `36cd1fc`</t>
  </si>
  <si>
    <t>IM-04</t>
  </si>
  <si>
    <t>Khung import</t>
  </si>
  <si>
    <t>Khung staging: upload → xem trước → xác nhận → huỷ</t>
  </si>
  <si>
    <t>Module `imports` tách đôi trách nhiệm: parser (thuần, không chạm DB) và committer (ghi DB trong transaction). 5 endpoint `/imports/*`, CASL chặn LECTURER, cập nhật trạng thái `COMMITTED` nằm chung transaction với committer.</t>
  </si>
  <si>
    <t>`modules/imports/*`</t>
  </si>
  <si>
    <t>Import hỏng giữa chừng không để lại dữ liệu ghi dở; LECTURER gọi → 403</t>
  </si>
  <si>
    <t>Commit `4d62e54`, `5ce176f`</t>
  </si>
  <si>
    <t>IM-05</t>
  </si>
  <si>
    <t>Importer 1</t>
  </si>
  <si>
    <t>Danh mục môn học &amp; bộ môn (sheet `3.1.Môn-BM`)</t>
  </si>
  <si>
    <t>Parser + committer ghi `Department` và `Subject`; phát hiện và báo cáo alias bộ môn chưa có ánh xạ thay vì bỏ qua âm thầm.</t>
  </si>
  <si>
    <t>`catalog.parser.ts`, `catalog.committer.ts`</t>
  </si>
  <si>
    <t>Kiểm chứng trên file thật; danh sách alias chưa ánh xạ hiển thị ở bước xem trước</t>
  </si>
  <si>
    <t>Commit `448f7fd`</t>
  </si>
  <si>
    <t>IM-06</t>
  </si>
  <si>
    <t>Importer 2</t>
  </si>
  <si>
    <t>Danh sách giảng viên (sheet `T.Kê`)</t>
  </si>
  <si>
    <t>Parser KHÔNG đọc cột email; committer ghi `Staff`. Quyết định lệch spec: TỪ CHỐI CẢ FILE thay vì lọc bỏ cột email, để chốt chặn PII không có ngoại lệ nào.</t>
  </si>
  <si>
    <t>`lecturer.parser.ts`, `lecturer.committer.ts`</t>
  </si>
  <si>
    <t>Thông báo lỗi chỉ đích danh sheet + ô đầu tiên vi phạm để người dùng sửa trong ~30 giây</t>
  </si>
  <si>
    <t>Commit `2fd8074` · lệch spec §4.2 có chủ đích</t>
  </si>
  <si>
    <t>IM-07</t>
  </si>
  <si>
    <t>Importer 3</t>
  </si>
  <si>
    <t>Lịch và phân công lớp học phần (`BL1+BL2` ⊕ `Lịch tool`)</t>
  </si>
  <si>
    <t>Trộn dữ liệu hai nguồn sheet, sinh `ClassSection`; cho phép lớp chưa có giảng viên (`lecturerId` null) để không chặn luồng nhập.</t>
  </si>
  <si>
    <t>`schedule.parser.ts`, `schedule.committer.ts`</t>
  </si>
  <si>
    <t>Kiểm chứng trên file thật; lớp thiếu GV lọc được bằng bộ lọc `unassigned`</t>
  </si>
  <si>
    <t>Commit `65f3f04`, `2829fb9`</t>
  </si>
  <si>
    <t>Importer 4</t>
  </si>
  <si>
    <t>Bảng điểm 21 sheet</t>
  </si>
  <si>
    <t>Chỉ lấy điểm tổng kết và trạng thái đạt/không đạt; ghi `Student` + `Enrollment`; đồng bộ nhãn "Không đạt" sang cả importer Excel cũ.</t>
  </si>
  <si>
    <t>`gradebook.parser.ts`, `gradebook.committer.ts`</t>
  </si>
  <si>
    <t>Kiểm chứng file gradebook thật; truy vấn kiểm PII sau import trả về 0 dòng</t>
  </si>
  <si>
    <t>Commit `eecb6fa`, `7cb5163`</t>
  </si>
  <si>
    <t>IM-09</t>
  </si>
  <si>
    <t>Trình hướng dẫn import 4 bước + lịch sử + huỷ mềm</t>
  </si>
  <si>
    <t>Chọn loại → tải lên kèm học kỳ → xem trước (tóm tắt + danh sách lỗi + alias chưa ánh xạ) → xác nhận. Kèm lịch sử `ImportBatch`, hiển thị tên người tải lên, huỷ mềm khi bỏ dở.</t>
  </si>
  <si>
    <t>`import-wizard.tsx`, `import-preview.tsx`, `import-history.tsx`</t>
  </si>
  <si>
    <t>Kiểm tay đủ 4 bước; bundle trang `/import-export` &lt; 300 kB First Load JS</t>
  </si>
  <si>
    <t>Commit `e3d0092`, `4c3aa37`</t>
  </si>
  <si>
    <t>IM-10</t>
  </si>
  <si>
    <t>Export</t>
  </si>
  <si>
    <t>Xuất Excel sinh viên và bảng điểm</t>
  </si>
  <si>
    <t>`StreamableFile` với `@SkipEnvelope`; file xuất ra tuyệt đối không có cột PII; rate limit riêng cho endpoint xuất; ghi audit mỗi lần xuất.</t>
  </si>
  <si>
    <t>`excel/students-excel.service.ts`, `grades-excel.service.ts`</t>
  </si>
  <si>
    <t>Mở file xuất ra kiểm bằng mắt: không có CCCD/SĐT/email/địa chỉ; LECTURER gọi → 403</t>
  </si>
  <si>
    <t>IM-11</t>
  </si>
  <si>
    <t>Hướng dẫn</t>
  </si>
  <si>
    <t>Tài liệu nghiệp vụ về thứ tự import bắt buộc</t>
  </si>
  <si>
    <t>Ghi rõ trình tự 1) danh mục môn học → 2) giảng viên → 3) lịch/phân công → 4) bảng điểm; giải thích hệ quả khi chạy sai thứ tự (nhiều dòng bị bỏ qua vì môn/GV chưa tồn tại).</t>
  </si>
  <si>
    <t>Tài liệu hướng dẫn + cảnh báo ngay trên giao diện wizard</t>
  </si>
  <si>
    <t>Người dùng thử nghiệm import đúng thứ tự mà không cần hỗ trợ</t>
  </si>
  <si>
    <t>BA / Tài liệu</t>
  </si>
  <si>
    <t>README đã có mục này, cần bản cho người dùng cuối</t>
  </si>
  <si>
    <t>PT-01</t>
  </si>
  <si>
    <t>GĐ6 — Phân tích học kỳ</t>
  </si>
  <si>
    <t>Schema `StudentTermAnalysis` + Version + Recipient</t>
  </si>
  <si>
    <t>Ba model quản lý bản phân tích theo kỳ, các phiên bản và danh sách người nhận; enum trạng thái phát hành.</t>
  </si>
  <si>
    <t>2 migration `add_student_term_analyses`, `harden_student_analysis`</t>
  </si>
  <si>
    <t>Migration chạy sạch; ràng buộc chống trùng phiên bản hoạt động</t>
  </si>
  <si>
    <t>Nhánh `feat/excel-import-admin-crud`, chưa commit</t>
  </si>
  <si>
    <t>PT-02</t>
  </si>
  <si>
    <t>API</t>
  </si>
  <si>
    <t>API tạo / duyệt / phát hành bản phân tích học kỳ</t>
  </si>
  <si>
    <t>Vòng đời bản phân tích với phân quyền theo vai trò; áp `deptFilter` cho mọi truy vấn chạm sinh viên.</t>
  </si>
  <si>
    <t>`modules/student-analyses/*`</t>
  </si>
  <si>
    <t>Test đơn vị phủ chuyển trạng thái hợp lệ và chặn chuyển trạng thái sai</t>
  </si>
  <si>
    <t>PT-03</t>
  </si>
  <si>
    <t>Trang xem bản phân tích theo phiên bản</t>
  </si>
  <si>
    <t>`/student-analyses/[versionId]` + helper hiển thị; trạng thái tải dùng skeleton dùng chung.</t>
  </si>
  <si>
    <t>`student-analysis-helpers.ts`, `components/ui/skeleton.tsx`</t>
  </si>
  <si>
    <t>Kiểm tay trên 3 vai trò khác nhau; bundle &lt; 300 kB</t>
  </si>
  <si>
    <t>PT-04</t>
  </si>
  <si>
    <t>Thông báo</t>
  </si>
  <si>
    <t>Phát thông báo tới người nhận theo phạm vi</t>
  </si>
  <si>
    <t>Dùng lại đường ống thông báo hiện có; danh sách người nhận suy từ phạm vi bộ môn/toàn trường của bản phân tích.</t>
  </si>
  <si>
    <t>`StudentTermAnalysisRecipient`, `modules/notifications`</t>
  </si>
  <si>
    <t>Không gửi trùng; người ngoài phạm vi không nhận được</t>
  </si>
  <si>
    <t>PT-02, CB-05</t>
  </si>
  <si>
    <t>PT-05</t>
  </si>
  <si>
    <t>Kiểm thử</t>
  </si>
  <si>
    <t>Test đơn vị + E2E cho luồng phân tích học kỳ</t>
  </si>
  <si>
    <t>Vitest cho helper phía web; Playwright `student-analysis-flow.spec.ts` và `training-visibility.spec.ts`.</t>
  </si>
  <si>
    <t>`*.test.ts`, `apps/web/e2e/*.spec.ts`</t>
  </si>
  <si>
    <t>Coverage module ≥ 80%; E2E xanh trên Chromium</t>
  </si>
  <si>
    <t>QA / Full-stack</t>
  </si>
  <si>
    <t>PT-06</t>
  </si>
  <si>
    <t>Bàn giao mã</t>
  </si>
  <si>
    <t>Rà soát và gộp nhánh `feat/excel-import-admin-crud` vào `main`</t>
  </si>
  <si>
    <t>74 tệp đang thay đổi/chưa theo dõi. Cần rà soát theo checklist, chạy đủ 4 lệnh xanh, `detect_changes` để xác nhận phạm vi ảnh hưởng, rồi mới gộp.</t>
  </si>
  <si>
    <t>Pull request kèm mô tả đầy đủ</t>
  </si>
  <si>
    <t>`pnpm typecheck &amp;&amp; pnpm lint &amp;&amp; pnpm build &amp;&amp; pnpm test` xanh; CI xanh; không có phát hiện CRITICAL/HIGH</t>
  </si>
  <si>
    <t>Chủ nhiệm kỹ thuật</t>
  </si>
  <si>
    <t>Nhánh đã tích luỹ nhiều thay đổi — gộp sớm để giảm rủi ro xung đột</t>
  </si>
  <si>
    <t>KT-01</t>
  </si>
  <si>
    <t>GĐ7 — Kiểm thử &amp; chất lượng</t>
  </si>
  <si>
    <t>Unit test</t>
  </si>
  <si>
    <t>Test đơn vị phía API</t>
  </si>
  <si>
    <t>35 tệp spec hiện có phủ auth, alerts, students, master-data, imports, excel. Bổ sung cho các nhánh lỗi và điều kiện biên còn thiếu.</t>
  </si>
  <si>
    <t>`apps/api/src/**/*.spec.ts`</t>
  </si>
  <si>
    <t>Coverage `apps/api/src/modules` ≥ 80%</t>
  </si>
  <si>
    <t>QA / Kỹ sư backend</t>
  </si>
  <si>
    <t>KT-02</t>
  </si>
  <si>
    <t>Test đơn vị phía web bằng Vitest</t>
  </si>
  <si>
    <t>Phủ các hàm thuần: `student-filters`, `import-kinds`, `master-data-tabs`, `evaluation-guidance`, `import-run-status`.</t>
  </si>
  <si>
    <t>`vitest.config.mts`, `*.test.ts`</t>
  </si>
  <si>
    <t>Coverage các module logic thuần ≥ 80%</t>
  </si>
  <si>
    <t>QA / Kỹ sư frontend</t>
  </si>
  <si>
    <t>Ưu tiên logic thuần; component nặng UI dựa vào E2E</t>
  </si>
  <si>
    <t>KT-03</t>
  </si>
  <si>
    <t>E2E</t>
  </si>
  <si>
    <t>Bộ E2E Playwright cho các luồng trọng yếu</t>
  </si>
  <si>
    <t>8 kịch bản: import của quản trị, từ chối PII, trạng thái trên URL, bàn phím/a11y, responsive, trạng thái lỗi, phân tích học kỳ, phạm vi hiển thị của Đào tạo. Global setup sinh 2 file `.xlsx` phái sinh (một bản đã xoá ô PII, một bản gắn nhãn bộ môn lạ).</t>
  </si>
  <si>
    <t>`apps/web/e2e/*`, `playwright.config.ts`</t>
  </si>
  <si>
    <t>Xanh trên Chromium/Firefox/WebKit</t>
  </si>
  <si>
    <t>QA</t>
  </si>
  <si>
    <t>Chạy `workers: 1`, `fullyParallel: false` — các luồng phụ thuộc thứ tự import, đừng bật song song</t>
  </si>
  <si>
    <t>KT-04</t>
  </si>
  <si>
    <t>Tích hợp</t>
  </si>
  <si>
    <t>Test tích hợp API trên PostgreSQL thật</t>
  </si>
  <si>
    <t>`pnpm --filter @fcare/api test:e2e` phủ guard chain, envelope, phân quyền theo vai trò, và giao dịch import.</t>
  </si>
  <si>
    <t>Bộ test e2e NestJS</t>
  </si>
  <si>
    <t>Chạy được trên DB sạch dựng tự động; không phụ thuộc dữ liệu tồn dư</t>
  </si>
  <si>
    <t>KT-05</t>
  </si>
  <si>
    <t>Chất lượng</t>
  </si>
  <si>
    <t>Đo coverage toàn repo và đưa ngưỡng 80% vào CI</t>
  </si>
  <si>
    <t>Bật báo cáo coverage cho cả hai app; CI fail khi tụt dưới ngưỡng.</t>
  </si>
  <si>
    <t>Cấu hình coverage + bước CI</t>
  </si>
  <si>
    <t>CI chặn merge khi coverage &lt; 80%</t>
  </si>
  <si>
    <t>DevOps / QA</t>
  </si>
  <si>
    <t>KT-01, KT-02</t>
  </si>
  <si>
    <t>KT-06</t>
  </si>
  <si>
    <t>CI</t>
  </si>
  <si>
    <t>Thêm job E2E vào CI với service container</t>
  </si>
  <si>
    <t>Dựng PostgreSQL + Redis làm service trong workflow, chạy migrate + seed rồi chạy Playwright trên Chromium; lưu trace/ảnh chụp khi lỗi.</t>
  </si>
  <si>
    <t>`.github/workflows/ci.yml` (job mới)</t>
  </si>
  <si>
    <t>Pull request chạy E2E tự động dưới 15 phút</t>
  </si>
  <si>
    <t>KT-07</t>
  </si>
  <si>
    <t>Kiểm thử hồi quy chống rò rỉ PII</t>
  </si>
  <si>
    <t>Truy vấn DB tìm mẫu PII trả về 0 dòng; quét `schema.prisma` xác nhận không có cột cấm; xác nhận `PiiGuardInterceptor` phủ mọi endpoint mới.</t>
  </si>
  <si>
    <t>Script kiểm + báo cáo kết quả</t>
  </si>
  <si>
    <t>Cả ba phép kiểm đều sạch, chạy được lặp lại trước mỗi lần phát hành</t>
  </si>
  <si>
    <t>Đưa vào checklist phát hành bắt buộc</t>
  </si>
  <si>
    <t>KT-08</t>
  </si>
  <si>
    <t>Nghiệm thu</t>
  </si>
  <si>
    <t>UAT với cán bộ Đào tạo, CTSV và Trưởng bộ môn</t>
  </si>
  <si>
    <t>Chạy trên dữ liệu thật của một học kỳ; thu thập phản hồi theo từng vai trò; ghi nhận và phân loại lỗi.</t>
  </si>
  <si>
    <t>Kịch bản UAT + biên bản nghiệm thu</t>
  </si>
  <si>
    <t>Mọi lỗi mức chặn được xử lý; đại diện các phòng ban ký biên bản</t>
  </si>
  <si>
    <t>Cần chuẩn bị dữ liệu thật đã xoá PII</t>
  </si>
  <si>
    <t>HN-01</t>
  </si>
  <si>
    <t>GĐ8 — Hiệu năng</t>
  </si>
  <si>
    <t>Rà soát và bổ sung index PostgreSQL</t>
  </si>
  <si>
    <t>Phân tích `EXPLAIN ANALYZE` cho truy vấn nặng: danh sách sinh viên có lọc, enrollment theo lớp, cảnh báo theo người nhận, thống kê theo bộ môn.</t>
  </si>
  <si>
    <t>Migration bổ sung index + báo cáo đo</t>
  </si>
  <si>
    <t>Truy vấn danh sách sinh viên &lt; 200 ms với 20.000 bản ghi</t>
  </si>
  <si>
    <t>HN-02</t>
  </si>
  <si>
    <t>Loại bỏ truy vấn N+1</t>
  </si>
  <si>
    <t>Rà `students`, `statistics`, `alerts`; thay vòng lặp truy vấn bằng `include`/`groupBy` hoặc truy vấn gộp.</t>
  </si>
  <si>
    <t>Bản vá + số đo trước/sau</t>
  </si>
  <si>
    <t>Số truy vấn mỗi request không tăng theo số bản ghi</t>
  </si>
  <si>
    <t>HN-03</t>
  </si>
  <si>
    <t>Frontend</t>
  </si>
  <si>
    <t>Giữ ngân sách bundle</t>
  </si>
  <si>
    <t>Landing &lt; 150 kB, trang ứng dụng &lt; 300 kB (gzip); nạp động thư viện nặng (ExcelJS phía web).</t>
  </si>
  <si>
    <t>Báo cáo phân tích bundle</t>
  </si>
  <si>
    <t>Mọi route trong ngân sách; có bước kiểm tự động</t>
  </si>
  <si>
    <t>Đã kiểm thủ công ở Task 12/13, chưa tự động hoá</t>
  </si>
  <si>
    <t>HN-04</t>
  </si>
  <si>
    <t>Tải trọng</t>
  </si>
  <si>
    <t>Tải thử luồng import quy mô thật</t>
  </si>
  <si>
    <t>Đo thời gian phân tích + commit với file 21 sheet / ~5.000 dòng; xác định ngưỡng cần chuyển sang xử lý nền.</t>
  </si>
  <si>
    <t>Báo cáo tải thử + khuyến nghị</t>
  </si>
  <si>
    <t>Xác định rõ ngưỡng an toàn và thời gian phản hồi ở ngưỡng đó</t>
  </si>
  <si>
    <t>Nếu vượt ngưỡng: cân nhắc đưa commit vào BullMQ</t>
  </si>
  <si>
    <t>HN-05</t>
  </si>
  <si>
    <t>Cache thống kê và phân trang bắt buộc</t>
  </si>
  <si>
    <t>Cache Redis cho endpoint thống kê tổng quan; bắt buộc `limit` trên mọi endpoint danh sách để chặn truy vấn không giới hạn.</t>
  </si>
  <si>
    <t>Bản vá + cấu hình TTL</t>
  </si>
  <si>
    <t>Không endpoint nào trả về tập không giới hạn</t>
  </si>
  <si>
    <t>VH-01</t>
  </si>
  <si>
    <t>GĐ9 — Triển khai &amp; vận hành</t>
  </si>
  <si>
    <t>Đóng gói</t>
  </si>
  <si>
    <t>Image production cho web và api kèm healthcheck</t>
  </si>
  <si>
    <t>Multi-stage build; API chạy từ `dist/src/main.js` (KHÔNG phải `dist/main.js`); endpoint `/health` cho probe.</t>
  </si>
  <si>
    <t>Dockerfile production + compose triển khai</t>
  </si>
  <si>
    <t>Image chạy được ở môi trường sạch; healthcheck trả 200</t>
  </si>
  <si>
    <t>Đường dẫn `dist/src/main.js` là lỗi đã từng tốn thời gian debug</t>
  </si>
  <si>
    <t>VH-02</t>
  </si>
  <si>
    <t>Cấu hình</t>
  </si>
  <si>
    <t>Quản lý biến môi trường và secret cho staging/production</t>
  </si>
  <si>
    <t>Kiểm tra sự tồn tại của secret bắt buộc ngay khi khởi động; không secret nào nằm trong mã nguồn; quy trình xoay khoá JWT.</t>
  </si>
  <si>
    <t>`.env.example` cập nhật + tài liệu cấu hình</t>
  </si>
  <si>
    <t>Thiếu secret bắt buộc → ứng dụng dừng ngay với thông báo rõ ràng</t>
  </si>
  <si>
    <t>VH-03</t>
  </si>
  <si>
    <t>Quy trình migrate khi triển khai và phương án quay lui</t>
  </si>
  <si>
    <t>Dùng `prisma migrate deploy` trong pipeline; kịch bản quay lui cho từng migration; ghi chú cách chạy migrate trong shell không tương tác.</t>
  </si>
  <si>
    <t>Runbook migration</t>
  </si>
  <si>
    <t>Diễn tập quay lui thành công trên môi trường staging</t>
  </si>
  <si>
    <t>DevOps / Kỹ sư backend</t>
  </si>
  <si>
    <t>VH-04</t>
  </si>
  <si>
    <t>Dữ liệu</t>
  </si>
  <si>
    <t>Sao lưu và khôi phục PostgreSQL</t>
  </si>
  <si>
    <t>Lịch sao lưu hằng ngày, lưu trữ mã hoá, quy định thời gian giữ; DIỄN TẬP khôi phục thật chứ không chỉ viết quy trình.</t>
  </si>
  <si>
    <t>Script sao lưu + biên bản diễn tập khôi phục</t>
  </si>
  <si>
    <t>Khôi phục thành công lên môi trường sạch trong RTO đã cam kết</t>
  </si>
  <si>
    <t>Dữ liệu học vụ không có bản sao ở nơi khác — mất là mất hẳn</t>
  </si>
  <si>
    <t>VH-05</t>
  </si>
  <si>
    <t>Giám sát</t>
  </si>
  <si>
    <t>Log tập trung, giám sát và cảnh báo hệ thống</t>
  </si>
  <si>
    <t>Gom log có cấu trúc, theo dõi tỉ lệ lỗi, độ trễ, tình trạng kết nối DB/Redis; cảnh báo khi vượt ngưỡng.</t>
  </si>
  <si>
    <t>Dashboard giám sát + luật cảnh báo</t>
  </si>
  <si>
    <t>Sự cố được phát hiện trước khi người dùng báo</t>
  </si>
  <si>
    <t>Không log nội dung PII vào hệ thống log</t>
  </si>
  <si>
    <t>VH-06</t>
  </si>
  <si>
    <t>Giám sát hàng đợi BullMQ</t>
  </si>
  <si>
    <t>Theo dõi job lỗi, job tồn đọng, số lần rơi vào nhánh fallback đồng bộ khi Redis lỗi.</t>
  </si>
  <si>
    <t>Dashboard queue + cảnh báo</t>
  </si>
  <si>
    <t>Job lỗi quá 3 lần sinh cảnh báo cho quản trị</t>
  </si>
  <si>
    <t>VH-07</t>
  </si>
  <si>
    <t>Phát hành</t>
  </si>
  <si>
    <t>Kế hoạch phát hành và quay lui</t>
  </si>
  <si>
    <t>Cửa sổ phát hành, danh sách kiểm trước/sau, tiêu chí quay lui, phân công trực sự cố.</t>
  </si>
  <si>
    <t>Kế hoạch phát hành</t>
  </si>
  <si>
    <t>Diễn tập phát hành trên staging thành công</t>
  </si>
  <si>
    <t>Chủ nhiệm dự án / DevOps</t>
  </si>
  <si>
    <t>VH-04, KT-08</t>
  </si>
  <si>
    <t>TL-01</t>
  </si>
  <si>
    <t>GĐ10 — Tài liệu &amp; bàn giao</t>
  </si>
  <si>
    <t>Tài liệu kỹ thuật</t>
  </si>
  <si>
    <t>Cập nhật README và CLAUDE.md</t>
  </si>
  <si>
    <t>Giữ đồng bộ với mã nguồn: lệnh chạy, tài khoản demo, thứ tự import, quy ước kiến trúc, 4 rule bảo mật.</t>
  </si>
  <si>
    <t>`README.md`, `CLAUDE.md`</t>
  </si>
  <si>
    <t>Người mới dựng được môi trường chỉ bằng README, không cần hỏi thêm</t>
  </si>
  <si>
    <t>Đang cập nhật liên tục theo từng task</t>
  </si>
  <si>
    <t>TL-02</t>
  </si>
  <si>
    <t>Vận hành</t>
  </si>
  <si>
    <t>Sổ tay vận hành (runbook)</t>
  </si>
  <si>
    <t>Xử lý sự cố thường gặp: Redis chết, hàng đợi tồn đọng, import lỗi giữa chừng, khôi phục dữ liệu, xoay khoá.</t>
  </si>
  <si>
    <t>Runbook vận hành</t>
  </si>
  <si>
    <t>Người trực xử lý được 5 tình huống mẫu mà không cần leo thang</t>
  </si>
  <si>
    <t>TL-03</t>
  </si>
  <si>
    <t>Hướng dẫn sử dụng theo 6 vai trò</t>
  </si>
  <si>
    <t>Tài liệu riêng cho Quản trị, Trưởng bộ môn, Giảng viên, Cán bộ Đào tạo, CTSV, Trưởng phòng CTSV; kèm ảnh chụp màn hình.</t>
  </si>
  <si>
    <t>Bộ tài liệu hướng dẫn người dùng</t>
  </si>
  <si>
    <t>Người dùng thử hoàn thành tác vụ chính của vai trò mình mà không cần hỗ trợ</t>
  </si>
  <si>
    <t>TL-04</t>
  </si>
  <si>
    <t>Hồ sơ tuân thủ bảo vệ dữ liệu cá nhân</t>
  </si>
  <si>
    <t>Đối chiếu từng điều trong tài liệu "Cơ sở dữ liệu và cơ chế bảo mật thông tin trong ứng dụng FCare" với cài đặt thực tế; nêu bằng chứng cho từng lớp phòng thủ.</t>
  </si>
  <si>
    <t>Báo cáo tuân thủ có bằng chứng</t>
  </si>
  <si>
    <t>Mọi yêu cầu trong tài liệu nghiệp vụ đều có bằng chứng đối chứng</t>
  </si>
  <si>
    <t>Chuyên gia bảo mật / BA</t>
  </si>
  <si>
    <t>AT-09, KT-07</t>
  </si>
  <si>
    <t>Hồ sơ bắt buộc khi bàn giao</t>
  </si>
  <si>
    <t>TL-05</t>
  </si>
  <si>
    <t>Bàn giao</t>
  </si>
  <si>
    <t>Đào tạo người dùng và nghiệm thu</t>
  </si>
  <si>
    <t>Buổi đào tạo theo nhóm vai trò; bàn giao tài khoản quản trị; ký biên bản nghiệm thu.</t>
  </si>
  <si>
    <t>Biên bản đào tạo + biên bản nghiệm thu</t>
  </si>
  <si>
    <t>Đại diện các phòng ban ký nghiệm thu</t>
  </si>
  <si>
    <t>Chủ nhiệm dự án</t>
  </si>
  <si>
    <t>TL-03, VH-07</t>
  </si>
  <si>
    <t>NC-01</t>
  </si>
  <si>
    <t>GĐ11 — Backlog nâng cao</t>
  </si>
  <si>
    <t>Báo cáo</t>
  </si>
  <si>
    <t>Báo cáo thống kê nâng cao theo bộ môn và học kỳ</t>
  </si>
  <si>
    <t>Biểu đồ tỉ lệ đạt/trượt/cấm thi, xu hướng theo kỳ, so sánh giữa các bộ môn; tuân thủ hệ thống thiết kế cho phần trực quan hoá dữ liệu.</t>
  </si>
  <si>
    <t>Trang báo cáo mới</t>
  </si>
  <si>
    <t>Số liệu khớp với truy vấn đối chứng thủ công</t>
  </si>
  <si>
    <t>NC-02</t>
  </si>
  <si>
    <t>Xuất báo cáo PDF</t>
  </si>
  <si>
    <t>Xuất bản phân tích học kỳ và báo cáo thống kê ra PDF phục vụ họp; tuyệt đối không chứa PII.</t>
  </si>
  <si>
    <t>Dịch vụ xuất PDF</t>
  </si>
  <si>
    <t>File PDF xuất ra không chứa trường PII nào</t>
  </si>
  <si>
    <t>P3</t>
  </si>
  <si>
    <t>NC-03</t>
  </si>
  <si>
    <t>Bảng điều khiển toàn trường cho CTSV</t>
  </si>
  <si>
    <t>Tổng hợp cảnh báo mức 3-4 toàn trường, xếp theo mức độ khẩn và thời gian tồn đọng.</t>
  </si>
  <si>
    <t>Trang dashboard CTSV</t>
  </si>
  <si>
    <t>Tải dưới 2 giây với dữ liệu một học kỳ đầy đủ</t>
  </si>
  <si>
    <t>NC-04</t>
  </si>
  <si>
    <t>Tối ưu trải nghiệm di động cho giảng viên</t>
  </si>
  <si>
    <t>Giảng viên thường tra cứu trên điện thoại: tối ưu 320/375 px cho hồ sơ sinh viên, nhật ký chăm sóc và cảnh báo.</t>
  </si>
  <si>
    <t>Bản vá responsive + ảnh chụp đối chứng</t>
  </si>
  <si>
    <t>Không tràn ngang ở mọi breakpoint 320-1920 px</t>
  </si>
  <si>
    <t>E2E `responsive.spec.ts` đã có nền để mở rộng</t>
  </si>
  <si>
    <t>NC-05</t>
  </si>
  <si>
    <t>Tìm kiếm</t>
  </si>
  <si>
    <t>Tìm kiếm nâng cao toàn hệ thống</t>
  </si>
  <si>
    <t>Tìm theo mã sinh viên/tên/lớp/môn có gợi ý; luôn áp `deptFilter` để không rò rỉ ngoài phạm vi.</t>
  </si>
  <si>
    <t>API + giao diện tìm kiếm</t>
  </si>
  <si>
    <t>Không kết quả nào vượt phạm vi bộ môn của người dùng</t>
  </si>
  <si>
    <t>NC-06</t>
  </si>
  <si>
    <t>Vòng đời dữ liệu</t>
  </si>
  <si>
    <t>Lưu trữ và ẩn danh dữ liệu sinh viên đã tốt nghiệp</t>
  </si>
  <si>
    <t>Chính sách thời gian giữ dữ liệu; ẩn danh sau thời hạn; giữ lại số liệu tổng hợp phục vụ thống kê.</t>
  </si>
  <si>
    <t>Chính sách + job lưu trữ</t>
  </si>
  <si>
    <t>Dữ liệu quá hạn được ẩn danh tự động và có thể kiểm chứng</t>
  </si>
  <si>
    <t>Kỹ sư backend / BA</t>
  </si>
  <si>
    <t>Cần Nhà trường chốt thời hạn giữ dữ liệu</t>
  </si>
  <si>
    <t>NC-07</t>
  </si>
  <si>
    <t>Tích hợp SSO tài khoản FPT</t>
  </si>
  <si>
    <t>Đăng nhập một lần bằng hệ thống tài khoản của Trường thay cho mã NV + mật khẩu.</t>
  </si>
  <si>
    <t>Bản tích hợp SSO</t>
  </si>
  <si>
    <t>Đăng nhập SSO thành công, ánh xạ đúng vai trò</t>
  </si>
  <si>
    <t>Cần Nhà trường cấp quyền truy cập hệ thống định danh — chưa có quyết định</t>
  </si>
  <si>
    <t>TỔNG CỘNG</t>
  </si>
  <si>
    <t>Mã</t>
  </si>
  <si>
    <t>Sprint</t>
  </si>
  <si>
    <t>Từ ngày</t>
  </si>
  <si>
    <t>Đến ngày</t>
  </si>
  <si>
    <t>Mục tiêu sprint</t>
  </si>
  <si>
    <t>Task thuộc sprint</t>
  </si>
  <si>
    <t>Trọng tâm / Lưu ý</t>
  </si>
  <si>
    <t>S0</t>
  </si>
  <si>
    <t>Đã hoàn thành (trước 04/09/2026)</t>
  </si>
  <si>
    <t>04/09/2026</t>
  </si>
  <si>
    <t>Nền tảng, xác thực &amp; bảo mật, danh mục, sinh viên &amp; học vụ, đánh giá &amp; cảnh báo, toàn bộ đường ống import/export Excel</t>
  </si>
  <si>
    <t>HT-01…HT-09, AT-01…AT-08, QT-01…QT-04, SV-01…SV-05, CB-01…CB-05, IM-01…IM-10</t>
  </si>
  <si>
    <t>Đã bàn giao nội bộ, đang nằm trên nhánh tính năng</t>
  </si>
  <si>
    <t>S1</t>
  </si>
  <si>
    <t>Sprint 1 — Hoàn tất phân tích học kỳ &amp; gộp nhánh</t>
  </si>
  <si>
    <t>08/09/2026</t>
  </si>
  <si>
    <t>19/09/2026</t>
  </si>
  <si>
    <t>Đóng gói GĐ6, đưa toàn bộ công việc đang treo lên `main`, tháo điểm chặn nghiệp vụ về ma trận cảnh báo</t>
  </si>
  <si>
    <t>PT-01…PT-06, CB-06</t>
  </si>
  <si>
    <t>Ưu tiên cao nhất: giảm rủi ro RR-04 và tháo RR-02</t>
  </si>
  <si>
    <t>S2</t>
  </si>
  <si>
    <t>Sprint 2 — Kiểm thử &amp; chất lượng</t>
  </si>
  <si>
    <t>22/09/2026</t>
  </si>
  <si>
    <t>03/10/2026</t>
  </si>
  <si>
    <t>Đưa coverage lên ngưỡng, tự động hoá E2E trong CI, chốt phép kiểm hồi quy PII</t>
  </si>
  <si>
    <t>KT-01…KT-07</t>
  </si>
  <si>
    <t>Cổng chất lượng phải xanh trước khi nói tới triển khai</t>
  </si>
  <si>
    <t>S3</t>
  </si>
  <si>
    <t>Sprint 3 — Hiệu năng &amp; rà soát bảo mật</t>
  </si>
  <si>
    <t>06/10/2026</t>
  </si>
  <si>
    <t>17/10/2026</t>
  </si>
  <si>
    <t>Tối ưu truy vấn, giữ ngân sách bundle, tải thử import, rà soát bảo mật độc lập</t>
  </si>
  <si>
    <t>HN-01…HN-05, AT-09</t>
  </si>
  <si>
    <t>Kết quả tải thử quyết định có phải đưa commit import sang hàng đợi hay không</t>
  </si>
  <si>
    <t>S4</t>
  </si>
  <si>
    <t>Sprint 4 — Triển khai &amp; vận hành</t>
  </si>
  <si>
    <t>20/10/2026</t>
  </si>
  <si>
    <t>31/10/2026</t>
  </si>
  <si>
    <t>Sẵn sàng môi trường production: đóng gói, secret, migrate, sao lưu, giám sát</t>
  </si>
  <si>
    <t>VH-01…VH-07, QT-05</t>
  </si>
  <si>
    <t>Diễn tập khôi phục dữ liệu là hạng mục không được bỏ qua</t>
  </si>
  <si>
    <t>S5</t>
  </si>
  <si>
    <t>Sprint 5 — UAT, tài liệu &amp; nghiệm thu</t>
  </si>
  <si>
    <t>03/11/2026</t>
  </si>
  <si>
    <t>14/11/2026</t>
  </si>
  <si>
    <t>Chạy UAT trên dữ liệu thật, hoàn thiện tài liệu, đào tạo và ký nghiệm thu</t>
  </si>
  <si>
    <t>KT-08, IM-11, TL-01…TL-05</t>
  </si>
  <si>
    <t>Mốc bàn giao chính thức</t>
  </si>
  <si>
    <t>BL</t>
  </si>
  <si>
    <t>Backlog — phát triển tiếp sau bàn giao</t>
  </si>
  <si>
    <t>Sau 14/11/2026</t>
  </si>
  <si>
    <t>Báo cáo nâng cao, dashboard CTSV, tối ưu di động, tìm kiếm nâng cao, vòng đời dữ liệu, SSO</t>
  </si>
  <si>
    <t>NC-01…NC-07</t>
  </si>
  <si>
    <t>Xếp thứ tự lại theo phản hồi thực tế sau khi vận hành</t>
  </si>
  <si>
    <t>Nội dung rủi ro</t>
  </si>
  <si>
    <t>Phân loại</t>
  </si>
  <si>
    <t>Xác suất</t>
  </si>
  <si>
    <t>Tác động</t>
  </si>
  <si>
    <t>Mức độ</t>
  </si>
  <si>
    <t>Biện pháp giảm thiểu</t>
  </si>
  <si>
    <t>Người chịu trách nhiệm</t>
  </si>
  <si>
    <t>RR-01</t>
  </si>
  <si>
    <t>Rò rỉ dữ liệu cá nhân (CCCD/SĐT/email/địa chỉ) qua file Excel nhập vào hoặc response API</t>
  </si>
  <si>
    <t>Trung bình</t>
  </si>
  <si>
    <t>Rất cao</t>
  </si>
  <si>
    <t>NGHIÊM TRỌNG</t>
  </si>
  <si>
    <t>Ba lớp chặn độc lập: schema không có cột PII → `PiiGuardInterceptor` lọc response → import quét giá trị mọi ô và từ chối cả file. Bổ sung KT-07 làm phép kiểm hồi quy trước mỗi lần phát hành.</t>
  </si>
  <si>
    <t>Đang kiểm soát</t>
  </si>
  <si>
    <t>RR-02</t>
  </si>
  <si>
    <t>Ma trận người nhận cảnh báo trong tài liệu nghiệp vụ tự mâu thuẫn (II.1 ghi DVSV + GV phụ trách, escalation đang chạy TBM; II.2 lại ghi CTSV/Đào tạo)</t>
  </si>
  <si>
    <t>Cao</t>
  </si>
  <si>
    <t>CAO</t>
  </si>
  <si>
    <t>Không tự sửa `escalation.service.ts` theo một bản spec mâu thuẫn. Đưa lên Nhà trường chốt (CB-06) rồi mới sửa, sửa tập trung một chỗ.</t>
  </si>
  <si>
    <t>Đang mở</t>
  </si>
  <si>
    <t>RR-03</t>
  </si>
  <si>
    <t>Công thức suy độ khẩn 1-4 từ điểm là do hệ thống tự đề xuất, chưa có văn bản của Trường</t>
  </si>
  <si>
    <t>Quy tắc đặt tập trung ở `URGENCY_RULES`; gợi ý chỉ pre-fill form, hệ thống KHÔNG bao giờ tự nâng cảnh báo. Khi có văn bản chính thức chỉ cần sửa một tệp.</t>
  </si>
  <si>
    <t>BA</t>
  </si>
  <si>
    <t>RR-04</t>
  </si>
  <si>
    <t>Nhánh `feat/excel-import-admin-crud` tích luỹ 74 tệp thay đổi/chưa theo dõi, càng để lâu càng khó gộp</t>
  </si>
  <si>
    <t>Kỹ thuật</t>
  </si>
  <si>
    <t>Ưu tiên hoàn tất GĐ6 rồi gộp ngay (PT-06); từ đó chia nhỏ nhánh theo từng tính năng.</t>
  </si>
  <si>
    <t>RR-05</t>
  </si>
  <si>
    <t>Mất dữ liệu học vụ do chưa có quy trình sao lưu/khôi phục đã diễn tập</t>
  </si>
  <si>
    <t>VH-04: lịch sao lưu hằng ngày + DIỄN TẬP khôi phục thật lên môi trường sạch, không chỉ viết quy trình.</t>
  </si>
  <si>
    <t>Chưa xử lý</t>
  </si>
  <si>
    <t>RR-06</t>
  </si>
  <si>
    <t>Import bảng điểm 21 sheet chạy đồng bộ có thể vượt thời gian chờ với dữ liệu quy mô thật</t>
  </si>
  <si>
    <t>Hiệu năng</t>
  </si>
  <si>
    <t>TRUNG BÌNH</t>
  </si>
  <si>
    <t>HN-04 tải thử để xác định ngưỡng; nếu vượt thì chuyển bước commit sang BullMQ như đường ống escalation.</t>
  </si>
  <si>
    <t>RR-07</t>
  </si>
  <si>
    <t>Người dùng import sai thứ tự 4 bước khiến nhiều dòng bị bỏ qua âm thầm</t>
  </si>
  <si>
    <t>Cảnh báo thứ tự ngay trên wizard, chặn bước sau khi bước trước chưa chạy; tài liệu hướng dẫn IM-11; bộ lọc dữ liệu thiếu (SV-05) để phát hiện sau import.</t>
  </si>
  <si>
    <t>BA / Kỹ sư frontend</t>
  </si>
  <si>
    <t>RR-08</t>
  </si>
  <si>
    <t>Redis gián đoạn làm mất thông báo escalation</t>
  </si>
  <si>
    <t>Thấp</t>
  </si>
  <si>
    <t>Enqueue có timeout 1,5s → fallback gửi đồng bộ; idempotent nhờ unique `(alertId, recipientId)`. Bổ sung giám sát queue (VH-06).</t>
  </si>
  <si>
    <t>RR-09</t>
  </si>
  <si>
    <t>Nâng Prisma lên v7 gây lỗi P1012 do đổi kiến trúc datasource/driver adapter</t>
  </si>
  <si>
    <t>Pin `^6.16.0` trong `package.json`; coi việc nâng v7 là quyết định riêng cần đánh giá và xác nhận, không nâng kèm theo task khác.</t>
  </si>
  <si>
    <t>RR-10</t>
  </si>
  <si>
    <t>Không có email trong hệ thống → người dùng quên mật khẩu phụ thuộc hoàn toàn vào quản trị viên</t>
  </si>
  <si>
    <t>Quy trình cấp mật khẩu tạm + bắt buộc đổi khi đăng nhập; ghi rõ trong tài liệu hướng dẫn và SLA hỗ trợ.</t>
  </si>
  <si>
    <t>Chấp nhận</t>
  </si>
  <si>
    <t>RR-11</t>
  </si>
  <si>
    <t>Bộ E2E chạy tuần tự (`workers: 1`) sẽ kéo dài thời gian CI khi số kịch bản tăng</t>
  </si>
  <si>
    <t>THẤP</t>
  </si>
  <si>
    <t>Giữ tuần tự vì các luồng phụ thuộc thứ tự import; nếu chậm quá thì tách nhóm test độc lập dữ liệu để chạy song song riêng.</t>
  </si>
  <si>
    <t>RR-12</t>
  </si>
  <si>
    <t>UAT phát hiện sai lệch nghiệp vụ lớn ở giai đoạn muộn</t>
  </si>
  <si>
    <t>Dự án</t>
  </si>
  <si>
    <t>Đưa UAT sớm ngay sau khi gộp nhánh (KT-08); chốt CB-06 trước UAT để không phải làm lại luồng cảnh báo.</t>
  </si>
  <si>
    <t>Vấn đề cần quyết định</t>
  </si>
  <si>
    <t>Ảnh hưởng nếu chưa chốt</t>
  </si>
  <si>
    <t>Ai quyết định</t>
  </si>
  <si>
    <t>Hạn chốt</t>
  </si>
  <si>
    <t>Task liên quan</t>
  </si>
  <si>
    <t>VD-01</t>
  </si>
  <si>
    <t>Công thức suy độ khẩn 1-4 từ điểm học lực/thái độ và nhóm vấn đề chưa có trong tài liệu nghiệp vụ — quy tắc hiện tại là ĐỀ XUẤT của hệ thống.</t>
  </si>
  <si>
    <t>Ảnh hưởng tới mức cảnh báo được gợi ý cho toàn bộ đánh giá</t>
  </si>
  <si>
    <t>Phòng Đào tạo + CTSV</t>
  </si>
  <si>
    <t>Trước Sprint 2</t>
  </si>
  <si>
    <t>CB-02, CB-06</t>
  </si>
  <si>
    <t>VD-02</t>
  </si>
  <si>
    <t>Ma trận người nhận cảnh báo mâu thuẫn giữa các bản tài liệu: II.1 ghi mức 2 = "cán bộ DVSV và giảng viên phụ trách" trong khi hệ thống đang chạy mức 2 = Trưởng bộ môn; II.1 để mức 1 và mức 2 giống hệt nhau; II.2 lại ghi CTSV/Trưởng phòng Đào tạo.</t>
  </si>
  <si>
    <t>Quyết định ai thực sự nhận được thông báo escalation thật</t>
  </si>
  <si>
    <t>CB-04, CB-06</t>
  </si>
  <si>
    <t>VD-03</t>
  </si>
  <si>
    <t>Thời hạn giữ dữ liệu học vụ và chính sách ẩn danh sinh viên đã tốt nghiệp chưa được quy định.</t>
  </si>
  <si>
    <t>Chưa xây được job lưu trữ/ẩn danh; ảnh hưởng hồ sơ tuân thủ</t>
  </si>
  <si>
    <t>Nhà trường</t>
  </si>
  <si>
    <t>Trước Sprint 5</t>
  </si>
  <si>
    <t>NC-06, TL-04</t>
  </si>
  <si>
    <t>VD-04</t>
  </si>
  <si>
    <t>Có tích hợp SSO tài khoản FPT hay giữ đăng nhập bằng mã nhân viên?</t>
  </si>
  <si>
    <t>Quyết định kiến trúc xác thực và khối lượng công việc GĐ11</t>
  </si>
  <si>
    <t>Nhà trường + Ban CNTT</t>
  </si>
  <si>
    <t>Sau bàn giao</t>
  </si>
  <si>
    <t>VD-05</t>
  </si>
  <si>
    <t>Hai file Excel nguồn trong `docs/` vẫn chứa email thật và đang nằm trong repo.</t>
  </si>
  <si>
    <t>Rủi ro tuân thủ ngay trong kho mã nguồn</t>
  </si>
  <si>
    <t>Ngay trong Sprint 1</t>
  </si>
  <si>
    <t>RR-01, KT-07</t>
  </si>
  <si>
    <t>VD-06</t>
  </si>
  <si>
    <t>Ngưỡng quy mô dữ liệu thật cần hỗ trợ (số sinh viên, số lớp học phần mỗi kỳ) chưa được xác nhận.</t>
  </si>
  <si>
    <t>Quyết định có phải chuyển import sang xử lý nền và mức đầu tư tối ưu hiệu năng</t>
  </si>
  <si>
    <t>Phòng Đào tạo</t>
  </si>
  <si>
    <t>Trước Sprint 3</t>
  </si>
  <si>
    <t>STT</t>
  </si>
  <si>
    <t>Nhóm</t>
  </si>
  <si>
    <t>Hạng mục kiểm tra</t>
  </si>
  <si>
    <t>Cách kiểm chứng</t>
  </si>
  <si>
    <t>Kết quả</t>
  </si>
  <si>
    <t>Người kiểm</t>
  </si>
  <si>
    <t>Chất lượng mã</t>
  </si>
  <si>
    <t>`pnpm typecheck &amp;&amp; pnpm lint &amp;&amp; pnpm build &amp;&amp; pnpm test` xanh toàn repo</t>
  </si>
  <si>
    <t>Chạy lệnh tại thư mục gốc, chụp lại kết quả</t>
  </si>
  <si>
    <t>Coverage thư mục `apps/api/src/modules/imports` đạt ≥ 80%</t>
  </si>
  <si>
    <t>Báo cáo coverage của Jest</t>
  </si>
  <si>
    <t>Không còn console.log hay mã gỡ lỗi sót lại</t>
  </si>
  <si>
    <t>Quét toàn repo trước khi phát hành</t>
  </si>
  <si>
    <t>Bảo mật — RULE 1</t>
  </si>
  <si>
    <t>Truy vấn kiểm PII trên database trả về 0 dòng</t>
  </si>
  <si>
    <t>Chạy script truy vấn mẫu CCCD/SĐT/email/địa chỉ trên mọi bảng</t>
  </si>
  <si>
    <t>`schema.prisma` không có cột PII nào</t>
  </si>
  <si>
    <t>Quét tên trường theo mẫu cấm</t>
  </si>
  <si>
    <t>File Excel xuất ra không chứa cột PII</t>
  </si>
  <si>
    <t>Mở file xuất của cả hai luồng (sinh viên, bảng điểm) kiểm bằng mắt</t>
  </si>
  <si>
    <t>Import file có cột/ô PII bị từ chối toàn bộ, báo đúng sheet và ô đầu tiên</t>
  </si>
  <si>
    <t>Dùng file nguồn thật trong `docs/` làm ca kiểm thử</t>
  </si>
  <si>
    <t>Bảo mật — RULE 2</t>
  </si>
  <si>
    <t>Trưởng bộ môn A không truy cập được sinh viên bộ môn B qua bất kỳ endpoint nào</t>
  </si>
  <si>
    <t>Đăng nhập tài khoản demo và thử toàn bộ endpoint chạm sinh viên</t>
  </si>
  <si>
    <t>Bảo mật — RULE 3</t>
  </si>
  <si>
    <t>Giảng viên gọi `/imports` và endpoint export đều trả 403</t>
  </si>
  <si>
    <t>Đăng nhập `gv.binh` và gọi thử</t>
  </si>
  <si>
    <t>Bảo mật — RULE 4</t>
  </si>
  <si>
    <t>Chưa ký cam kết thì mọi API trả `CONSENT_REQUIRED`</t>
  </si>
  <si>
    <t>Đăng nhập tài khoản mới và gọi API bất kỳ trước khi ký</t>
  </si>
  <si>
    <t>Bảo mật</t>
  </si>
  <si>
    <t>Mọi endpoint mới đều có `@CheckPolicies`</t>
  </si>
  <si>
    <t>Rà soát từng controller mới</t>
  </si>
  <si>
    <t>`PiiGuardInterceptor` phủ toàn cục, không controller nào ghi đè</t>
  </si>
  <si>
    <t>Kiểm tra khai báo `APP_INTERCEPTOR` và tìm interceptor cục bộ</t>
  </si>
  <si>
    <t>Không có secret nào nằm trong mã nguồn</t>
  </si>
  <si>
    <t>Quét secret toàn repo</t>
  </si>
  <si>
    <t>Bundle `/import-export`, `/master-data/[tab]`, `/class-sections/[id]/grades`, `/students` đều &lt; 300 kB First Load JS</t>
  </si>
  <si>
    <t>Đọc báo cáo build của Next.js</t>
  </si>
  <si>
    <t>Trang landing &lt; 150 kB (gzip)</t>
  </si>
  <si>
    <t>Đọc báo cáo build</t>
  </si>
  <si>
    <t>Danh sách sinh viên có lọc trả về &lt; 200 ms với dữ liệu quy mô thật</t>
  </si>
  <si>
    <t>Đo trên môi trường staging đã nạp dữ liệu</t>
  </si>
  <si>
    <t>Chức năng</t>
  </si>
  <si>
    <t>Import đúng thứ tự 4 bước cho kết quả khớp file nguồn</t>
  </si>
  <si>
    <t>Đối chiếu số dòng nhập được với file Excel gốc</t>
  </si>
  <si>
    <t>Cảnh báo mức 2/3/4 tới đúng nhóm người nhận theo ma trận ĐÃ ĐƯỢC CHỐT</t>
  </si>
  <si>
    <t>Chạy sau khi VD-02 được quyết định</t>
  </si>
  <si>
    <t>Tắt Redis: thông báo vẫn tới đích qua nhánh gửi đồng bộ</t>
  </si>
  <si>
    <t>Dừng container Redis rồi tạo cảnh báo mức 4</t>
  </si>
  <si>
    <t>Chạy lại job escalation không sinh thông báo trùng</t>
  </si>
  <si>
    <t>Kích hoạt lại job và đếm bản ghi thông báo</t>
  </si>
  <si>
    <t>8 kịch bản E2E xanh trên Chromium, Firefox và WebKit</t>
  </si>
  <si>
    <t>Chạy `pnpm --filter @fcare/web test:e2e`</t>
  </si>
  <si>
    <t>UAT có biên bản, mọi lỗi mức chặn đã xử lý</t>
  </si>
  <si>
    <t>Biên bản UAT có chữ ký đại diện các phòng ban</t>
  </si>
  <si>
    <t>Diễn tập khôi phục dữ liệu từ bản sao lưu thành công</t>
  </si>
  <si>
    <t>Khôi phục lên môi trường sạch và đối chiếu số bản ghi</t>
  </si>
  <si>
    <t>Thiếu secret bắt buộc thì ứng dụng dừng ngay với thông báo rõ ràng</t>
  </si>
  <si>
    <t>Xoá một biến môi trường bắt buộc rồi khởi động thử</t>
  </si>
  <si>
    <t>Có runbook xử lý 5 tình huống sự cố mẫu</t>
  </si>
  <si>
    <t>Người trực thử xử lý theo tài liệu</t>
  </si>
  <si>
    <t>Tài liệu</t>
  </si>
  <si>
    <t>Người mới dựng được môi trường chỉ bằng README</t>
  </si>
  <si>
    <t>Nhờ một người chưa từng làm dự án thử dựng</t>
  </si>
  <si>
    <t>Hồ sơ tuân thủ bảo vệ dữ liệu cá nhân có bằng chứng cho từng yêu cầu</t>
  </si>
  <si>
    <t>Đối chiếu với tài liệu nghiệp vụ gốc trong `docs/`</t>
  </si>
  <si>
    <t>Biên bản đào tạo và biên bản nghiệm thu đã ký</t>
  </si>
  <si>
    <t>Lưu hồ sơ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</si>
</sst>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1F2937"/>
      <sz val="10.5"/>
    </font>
    <font>
      <sz val="10.5"/>
    </font>
    <font>
      <b/>
      <color rgb="FFFFFFFF"/>
    </font>
    <font>
      <b/>
      <sz val="10.5"/>
    </font>
    <font>
      <b/>
      <color rgb="FFD95E1A"/>
      <sz val="11"/>
    </font>
    <font>
      <b/>
      <color rgb="FFD5393C"/>
      <sz val="10.5"/>
    </font>
    <font>
      <b/>
      <color rgb="FFFFFFFF"/>
      <sz val="11"/>
      <name val="Calibri"/>
    </font>
    <font>
      <b/>
      <color rgb="FF0066B3"/>
      <sz val="10"/>
    </font>
    <font>
      <sz val="10"/>
      <name val="Calibri"/>
    </font>
    <font>
      <b/>
      <color rgb="FF1F2937"/>
      <sz val="10"/>
    </font>
    <font>
      <b/>
      <color rgb="FFD5393C"/>
      <sz val="10"/>
    </font>
    <font>
      <b/>
      <color rgb="FF1B6B2B"/>
      <sz val="10"/>
    </font>
    <font>
      <b/>
      <color rgb="FFD95E1A"/>
      <sz val="10"/>
    </font>
    <font>
      <b/>
      <color rgb="FF6B7280"/>
      <sz val="10"/>
    </font>
    <font>
      <b/>
      <color rgb="FF8A5B00"/>
      <sz val="10"/>
    </font>
    <font>
      <b/>
      <color rgb="FFFFFFFF"/>
      <sz val="11"/>
    </font>
    <font>
      <b/>
      <color rgb="FFD95E1A"/>
      <sz val="10.5"/>
    </font>
    <font>
      <sz val="10.5"/>
      <name val="Calibri"/>
    </font>
    <font>
      <b/>
      <color rgb="FF8A5B00"/>
      <sz val="10.5"/>
    </font>
    <font>
      <b/>
      <color rgb="FF6B7280"/>
      <sz val="10.5"/>
    </font>
    <font>
      <b/>
      <color rgb="FF0066B3"/>
      <sz val="10.5"/>
    </font>
  </fonts>
  <fills count="15">
    <fill>
      <patternFill patternType="none"/>
    </fill>
    <fill>
      <patternFill patternType="gray125"/>
    </fill>
    <fill>
      <patternFill patternType="solid">
        <fgColor rgb="FFF27227"/>
      </patternFill>
    </fill>
    <fill>
      <patternFill patternType="solid">
        <fgColor rgb="FFD95E1A"/>
      </patternFill>
    </fill>
    <fill>
      <patternFill patternType="solid">
        <fgColor rgb="FF0B2E4F"/>
      </patternFill>
    </fill>
    <fill>
      <patternFill patternType="solid">
        <fgColor rgb="FFF3F4F6"/>
      </patternFill>
    </fill>
    <fill>
      <patternFill patternType="solid">
        <fgColor rgb="FF0066B3"/>
      </patternFill>
    </fill>
    <fill>
      <patternFill patternType="solid">
        <fgColor rgb="FFFBEAEA"/>
      </patternFill>
    </fill>
    <fill>
      <patternFill patternType="solid">
        <fgColor rgb="FFE7F6EA"/>
      </patternFill>
    </fill>
    <fill>
      <patternFill patternType="solid">
        <fgColor rgb="FFFEF3EC"/>
      </patternFill>
    </fill>
    <fill>
      <patternFill patternType="solid">
        <fgColor rgb="FFEAF3FA"/>
      </patternFill>
    </fill>
    <fill>
      <patternFill patternType="solid">
        <fgColor rgb="FFFDF4E0"/>
      </patternFill>
    </fill>
    <fill>
      <patternFill patternType="solid">
        <fgColor rgb="FFD5393C"/>
      </patternFill>
    </fill>
    <fill>
      <patternFill patternType="solid">
        <fgColor rgb="FFE8A10F"/>
      </patternFill>
    </fill>
    <fill>
      <patternFill patternType="solid">
        <fgColor rgb="FF2E9E44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4" fillId="7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top" wrapText="1"/>
    </xf>
    <xf numFmtId="0" fontId="16" fillId="9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8" fillId="11" borderId="1" xfId="0" applyFont="1" applyFill="1" applyBorder="1" applyAlignment="1">
      <alignment horizontal="center" vertical="top" wrapText="1"/>
    </xf>
    <xf numFmtId="0" fontId="19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center" vertical="top" wrapText="1"/>
    </xf>
    <xf numFmtId="0" fontId="21" fillId="8" borderId="1" xfId="0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0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21" fillId="5" borderId="1" xfId="0" applyFont="1" applyFill="1" applyBorder="1" applyAlignment="1">
      <alignment horizontal="center" vertical="top" wrapText="1"/>
    </xf>
    <xf numFmtId="0" fontId="21" fillId="5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20" fillId="9" borderId="1" xfId="0" applyFont="1" applyFill="1" applyBorder="1" applyAlignment="1">
      <alignment horizontal="center" vertical="top" wrapText="1"/>
    </xf>
    <xf numFmtId="0" fontId="22" fillId="11" borderId="1" xfId="0" applyFont="1" applyFill="1" applyBorder="1" applyAlignment="1">
      <alignment horizontal="center" vertical="top" wrapText="1"/>
    </xf>
    <xf numFmtId="0" fontId="23" fillId="5" borderId="1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3" width="62" customWidth="1"/>
    <col min="4" max="4" width="26" customWidth="1"/>
    <col min="5" max="5" width="22" customWidth="1"/>
    <col min="6" max="6" width="18" customWidth="1"/>
  </cols>
  <sheetData>
    <row r="2" ht="2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1"/>
      <c r="C3" s="1"/>
      <c r="D3" s="1"/>
      <c r="E3" s="1"/>
      <c r="F3" s="1"/>
    </row>
    <row r="4" ht="20" customHeight="1" spans="2:6" x14ac:dyDescent="0.25">
      <c r="B4" s="2" t="s">
        <v>1</v>
      </c>
      <c r="C4" s="2"/>
      <c r="D4" s="2"/>
      <c r="E4" s="2"/>
      <c r="F4" s="2"/>
    </row>
    <row r="6" ht="24" customHeight="1" spans="2:6" x14ac:dyDescent="0.25">
      <c r="B6" s="3" t="s">
        <v>2</v>
      </c>
      <c r="C6" s="3"/>
      <c r="D6" s="3"/>
      <c r="E6" s="3"/>
      <c r="F6" s="3"/>
    </row>
    <row r="7" ht="20" customHeight="1" spans="2:6" x14ac:dyDescent="0.25">
      <c r="B7" s="4" t="s">
        <v>3</v>
      </c>
      <c r="C7" s="5" t="s">
        <v>4</v>
      </c>
      <c r="D7" s="5"/>
      <c r="E7" s="5"/>
      <c r="F7" s="5"/>
    </row>
    <row r="8" ht="20" customHeight="1" spans="2:6" x14ac:dyDescent="0.25">
      <c r="B8" s="4" t="s">
        <v>5</v>
      </c>
      <c r="C8" s="5" t="s">
        <v>6</v>
      </c>
      <c r="D8" s="5"/>
      <c r="E8" s="5"/>
      <c r="F8" s="5"/>
    </row>
    <row r="9" ht="20" customHeight="1" spans="2:6" x14ac:dyDescent="0.25">
      <c r="B9" s="4" t="s">
        <v>7</v>
      </c>
      <c r="C9" s="5" t="s">
        <v>8</v>
      </c>
      <c r="D9" s="5"/>
      <c r="E9" s="5"/>
      <c r="F9" s="5"/>
    </row>
    <row r="10" ht="20" customHeight="1" spans="2:6" x14ac:dyDescent="0.25">
      <c r="B10" s="4" t="s">
        <v>9</v>
      </c>
      <c r="C10" s="5" t="s">
        <v>10</v>
      </c>
      <c r="D10" s="5"/>
      <c r="E10" s="5"/>
      <c r="F10" s="5"/>
    </row>
    <row r="11" ht="20" customHeight="1" spans="2:6" x14ac:dyDescent="0.25">
      <c r="B11" s="4" t="s">
        <v>11</v>
      </c>
      <c r="C11" s="5" t="s">
        <v>12</v>
      </c>
      <c r="D11" s="5"/>
      <c r="E11" s="5"/>
      <c r="F11" s="5"/>
    </row>
    <row r="12" ht="20" customHeight="1" spans="2:6" x14ac:dyDescent="0.25">
      <c r="B12" s="4" t="s">
        <v>13</v>
      </c>
      <c r="C12" s="5" t="s">
        <v>14</v>
      </c>
      <c r="D12" s="5"/>
      <c r="E12" s="5"/>
      <c r="F12" s="5"/>
    </row>
    <row r="13" ht="20" customHeight="1" spans="2:6" x14ac:dyDescent="0.25">
      <c r="B13" s="4" t="s">
        <v>15</v>
      </c>
      <c r="C13" s="5" t="s">
        <v>16</v>
      </c>
      <c r="D13" s="5"/>
      <c r="E13" s="5"/>
      <c r="F13" s="5"/>
    </row>
    <row r="15" ht="24" customHeight="1" spans="2:6" x14ac:dyDescent="0.25">
      <c r="B15" s="3" t="s">
        <v>17</v>
      </c>
      <c r="C15" s="3"/>
      <c r="D15" s="3"/>
      <c r="E15" s="3"/>
      <c r="F15" s="3"/>
    </row>
    <row r="16" spans="1:6" x14ac:dyDescent="0.25">
      <c r="A16" t="s">
        <v>18</v>
      </c>
      <c r="B16" s="6" t="s">
        <v>19</v>
      </c>
      <c r="C16" s="6" t="s">
        <v>20</v>
      </c>
      <c r="D16" s="6" t="s">
        <v>21</v>
      </c>
      <c r="E16" t="s">
        <v>18</v>
      </c>
      <c r="F16" t="s">
        <v>18</v>
      </c>
    </row>
    <row r="17" ht="19" customHeight="1" spans="2:4" x14ac:dyDescent="0.25">
      <c r="B17" s="7" t="s">
        <v>22</v>
      </c>
      <c r="C17" s="8">
        <f>COUNTA('Kế hoạch task'!A2:A84)</f>
      </c>
      <c r="D17" s="5" t="s">
        <v>23</v>
      </c>
    </row>
    <row r="18" ht="19" customHeight="1" spans="2:4" x14ac:dyDescent="0.25">
      <c r="B18" s="7" t="s">
        <v>24</v>
      </c>
      <c r="C18" s="8">
        <f>COUNTIF('Kế hoạch task'!L2:L84,"Hoàn thành")</f>
      </c>
      <c r="D18" s="5" t="s">
        <v>25</v>
      </c>
    </row>
    <row r="19" ht="19" customHeight="1" spans="2:4" x14ac:dyDescent="0.25">
      <c r="B19" s="7" t="s">
        <v>26</v>
      </c>
      <c r="C19" s="8">
        <f>COUNTIF('Kế hoạch task'!L2:L84,"Đang làm")</f>
      </c>
      <c r="D19" s="5" t="s">
        <v>27</v>
      </c>
    </row>
    <row r="20" ht="19" customHeight="1" spans="2:4" x14ac:dyDescent="0.25">
      <c r="B20" s="7" t="s">
        <v>28</v>
      </c>
      <c r="C20" s="8">
        <f>COUNTIF('Kế hoạch task'!L2:L84,"Chưa bắt đầu")</f>
      </c>
      <c r="D20" s="5" t="s">
        <v>29</v>
      </c>
    </row>
    <row r="21" ht="19" customHeight="1" spans="2:4" x14ac:dyDescent="0.25">
      <c r="B21" s="7" t="s">
        <v>30</v>
      </c>
      <c r="C21" s="8">
        <f>ROUND(COUNTIF('Kế hoạch task'!L2:L84,"Hoàn thành")/COUNTA('Kế hoạch task'!A2:A84)*100,1)&amp;"%"</f>
      </c>
      <c r="D21" s="5" t="s">
        <v>31</v>
      </c>
    </row>
    <row r="22" ht="19" customHeight="1" spans="2:4" x14ac:dyDescent="0.25">
      <c r="B22" s="7" t="s">
        <v>32</v>
      </c>
      <c r="C22" s="8">
        <f>SUM('Kế hoạch task'!K2:K84)</f>
      </c>
      <c r="D22" s="5" t="s">
        <v>33</v>
      </c>
    </row>
    <row r="23" ht="19" customHeight="1" spans="2:4" x14ac:dyDescent="0.25">
      <c r="B23" s="7" t="s">
        <v>34</v>
      </c>
      <c r="C23" s="8">
        <f>SUMIF('Kế hoạch task'!L2:L84,"&lt;&gt;Hoàn thành",'Kế hoạch task'!K2:K84)</f>
      </c>
      <c r="D23" s="5" t="s">
        <v>35</v>
      </c>
    </row>
    <row r="24" ht="19" customHeight="1" spans="2:4" x14ac:dyDescent="0.25">
      <c r="B24" s="7" t="s">
        <v>36</v>
      </c>
      <c r="C24" s="8">
        <f>COUNTIFS('Kế hoạch task'!J2:J84,"P0",'Kế hoạch task'!L2:L84,"&lt;&gt;Hoàn thành")</f>
      </c>
      <c r="D24" s="5" t="s">
        <v>37</v>
      </c>
    </row>
    <row r="25" ht="19" customHeight="1" spans="2:4" x14ac:dyDescent="0.25">
      <c r="B25" s="7" t="s">
        <v>38</v>
      </c>
      <c r="C25" s="8">
        <f>COUNTIF('Rủi ro'!F2:F13,"NGHIÊM TRỌNG")+COUNTIF('Rủi ro'!F2:F13,"CAO")</f>
      </c>
      <c r="D25" s="5" t="s">
        <v>39</v>
      </c>
    </row>
    <row r="26" ht="19" customHeight="1" spans="2:4" x14ac:dyDescent="0.25">
      <c r="B26" s="7" t="s">
        <v>40</v>
      </c>
      <c r="C26" s="8">
        <v>6</v>
      </c>
      <c r="D26" s="5" t="s">
        <v>41</v>
      </c>
    </row>
    <row r="28" ht="24" customHeight="1" spans="2:6" x14ac:dyDescent="0.25">
      <c r="B28" s="3" t="s">
        <v>42</v>
      </c>
      <c r="C28" s="3"/>
      <c r="D28" s="3"/>
      <c r="E28" s="3"/>
      <c r="F28" s="3"/>
    </row>
    <row r="29" ht="20" customHeight="1" spans="2:6" x14ac:dyDescent="0.25">
      <c r="B29" s="4" t="s">
        <v>43</v>
      </c>
      <c r="C29" s="5" t="s">
        <v>44</v>
      </c>
      <c r="D29" s="5"/>
      <c r="E29" s="5"/>
      <c r="F29" s="5"/>
    </row>
    <row r="30" ht="20" customHeight="1" spans="2:6" x14ac:dyDescent="0.25">
      <c r="B30" s="4" t="s">
        <v>45</v>
      </c>
      <c r="C30" s="5" t="s">
        <v>46</v>
      </c>
      <c r="D30" s="5"/>
      <c r="E30" s="5"/>
      <c r="F30" s="5"/>
    </row>
    <row r="31" ht="20" customHeight="1" spans="2:6" x14ac:dyDescent="0.25">
      <c r="B31" s="4" t="s">
        <v>47</v>
      </c>
      <c r="C31" s="5" t="s">
        <v>48</v>
      </c>
      <c r="D31" s="5"/>
      <c r="E31" s="5"/>
      <c r="F31" s="5"/>
    </row>
    <row r="32" ht="20" customHeight="1" spans="2:6" x14ac:dyDescent="0.25">
      <c r="B32" s="4" t="s">
        <v>49</v>
      </c>
      <c r="C32" s="5" t="s">
        <v>50</v>
      </c>
      <c r="D32" s="5"/>
      <c r="E32" s="5"/>
      <c r="F32" s="5"/>
    </row>
    <row r="33" ht="20" customHeight="1" spans="2:6" x14ac:dyDescent="0.25">
      <c r="B33" s="4" t="s">
        <v>51</v>
      </c>
      <c r="C33" s="5" t="s">
        <v>52</v>
      </c>
      <c r="D33" s="5"/>
      <c r="E33" s="5"/>
      <c r="F33" s="5"/>
    </row>
    <row r="34" ht="20" customHeight="1" spans="2:6" x14ac:dyDescent="0.25">
      <c r="B34" s="4" t="s">
        <v>53</v>
      </c>
      <c r="C34" s="5" t="s">
        <v>54</v>
      </c>
      <c r="D34" s="5"/>
      <c r="E34" s="5"/>
      <c r="F34" s="5"/>
    </row>
    <row r="35" ht="20" customHeight="1" spans="2:6" x14ac:dyDescent="0.25">
      <c r="B35" s="4" t="s">
        <v>55</v>
      </c>
      <c r="C35" s="5" t="s">
        <v>56</v>
      </c>
      <c r="D35" s="5"/>
      <c r="E35" s="5"/>
      <c r="F35" s="5"/>
    </row>
    <row r="36" ht="20" customHeight="1" spans="2:6" x14ac:dyDescent="0.25">
      <c r="B36" s="4" t="s">
        <v>57</v>
      </c>
      <c r="C36" s="5" t="s">
        <v>58</v>
      </c>
      <c r="D36" s="5"/>
      <c r="E36" s="5"/>
      <c r="F36" s="5"/>
    </row>
    <row r="38" ht="24" customHeight="1" spans="2:6" x14ac:dyDescent="0.25">
      <c r="B38" s="3" t="s">
        <v>59</v>
      </c>
      <c r="C38" s="3"/>
      <c r="D38" s="3"/>
      <c r="E38" s="3"/>
      <c r="F38" s="3"/>
    </row>
    <row r="39" ht="46" customHeight="1" spans="2:6" x14ac:dyDescent="0.25">
      <c r="B39" s="9" t="s">
        <v>60</v>
      </c>
      <c r="C39" s="10" t="s">
        <v>61</v>
      </c>
      <c r="D39" s="10"/>
      <c r="E39" s="10"/>
      <c r="F39" s="10"/>
    </row>
    <row r="40" ht="46" customHeight="1" spans="2:6" x14ac:dyDescent="0.25">
      <c r="B40" s="9" t="s">
        <v>62</v>
      </c>
      <c r="C40" s="10" t="s">
        <v>63</v>
      </c>
      <c r="D40" s="10"/>
      <c r="E40" s="10"/>
      <c r="F40" s="10"/>
    </row>
    <row r="41" ht="46" customHeight="1" spans="2:6" x14ac:dyDescent="0.25">
      <c r="B41" s="9" t="s">
        <v>64</v>
      </c>
      <c r="C41" s="10" t="s">
        <v>65</v>
      </c>
      <c r="D41" s="10"/>
      <c r="E41" s="10"/>
      <c r="F41" s="10"/>
    </row>
    <row r="42" ht="46" customHeight="1" spans="2:6" x14ac:dyDescent="0.25">
      <c r="B42" s="9" t="s">
        <v>66</v>
      </c>
      <c r="C42" s="10" t="s">
        <v>67</v>
      </c>
      <c r="D42" s="10"/>
      <c r="E42" s="10"/>
      <c r="F42" s="10"/>
    </row>
  </sheetData>
  <mergeCells count="25">
    <mergeCell ref="B2:F3"/>
    <mergeCell ref="B4:F4"/>
    <mergeCell ref="B6:F6"/>
    <mergeCell ref="C7:F7"/>
    <mergeCell ref="C8:F8"/>
    <mergeCell ref="C9:F9"/>
    <mergeCell ref="C10:F10"/>
    <mergeCell ref="C11:F11"/>
    <mergeCell ref="C12:F12"/>
    <mergeCell ref="C13:F13"/>
    <mergeCell ref="B15:F15"/>
    <mergeCell ref="B28:F28"/>
    <mergeCell ref="C29:F29"/>
    <mergeCell ref="C30:F30"/>
    <mergeCell ref="C31:F31"/>
    <mergeCell ref="C32:F32"/>
    <mergeCell ref="C33:F33"/>
    <mergeCell ref="C34:F34"/>
    <mergeCell ref="C35:F35"/>
    <mergeCell ref="C36:F36"/>
    <mergeCell ref="B38:F38"/>
    <mergeCell ref="C39:F39"/>
    <mergeCell ref="C40:F40"/>
    <mergeCell ref="C41:F41"/>
    <mergeCell ref="C42:F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8" customWidth="1"/>
    <col min="4" max="4" width="40" customWidth="1"/>
    <col min="5" max="5" width="74" customWidth="1"/>
    <col min="6" max="6" width="34" customWidth="1"/>
    <col min="7" max="7" width="46" customWidth="1"/>
    <col min="8" max="9" width="18" customWidth="1"/>
    <col min="11" max="11" width="12" customWidth="1"/>
    <col min="12" max="12" width="14" customWidth="1"/>
    <col min="13" max="13" width="40" customWidth="1"/>
  </cols>
  <sheetData>
    <row r="1" ht="34" customHeight="1" spans="1:13" x14ac:dyDescent="0.25">
      <c r="A1" s="11" t="s">
        <v>68</v>
      </c>
      <c r="B1" s="11" t="s">
        <v>69</v>
      </c>
      <c r="C1" s="11" t="s">
        <v>70</v>
      </c>
      <c r="D1" s="11" t="s">
        <v>71</v>
      </c>
      <c r="E1" s="11" t="s">
        <v>72</v>
      </c>
      <c r="F1" s="11" t="s">
        <v>73</v>
      </c>
      <c r="G1" s="11" t="s">
        <v>74</v>
      </c>
      <c r="H1" s="11" t="s">
        <v>75</v>
      </c>
      <c r="I1" s="11" t="s">
        <v>76</v>
      </c>
      <c r="J1" s="11" t="s">
        <v>77</v>
      </c>
      <c r="K1" s="11" t="s">
        <v>78</v>
      </c>
      <c r="L1" s="11" t="s">
        <v>79</v>
      </c>
      <c r="M1" s="11" t="s">
        <v>80</v>
      </c>
    </row>
    <row r="2" ht="62" customHeight="1" spans="1:13" x14ac:dyDescent="0.25">
      <c r="A2" s="12" t="s">
        <v>81</v>
      </c>
      <c r="B2" s="13" t="s">
        <v>82</v>
      </c>
      <c r="C2" s="13" t="s">
        <v>83</v>
      </c>
      <c r="D2" s="14" t="s">
        <v>84</v>
      </c>
      <c r="E2" s="13" t="s">
        <v>85</v>
      </c>
      <c r="F2" s="13" t="s">
        <v>86</v>
      </c>
      <c r="G2" s="13" t="s">
        <v>87</v>
      </c>
      <c r="H2" s="15" t="s">
        <v>88</v>
      </c>
      <c r="I2" s="15" t="s">
        <v>89</v>
      </c>
      <c r="J2" s="16" t="s">
        <v>90</v>
      </c>
      <c r="K2" s="15">
        <v>16</v>
      </c>
      <c r="L2" s="17" t="s">
        <v>91</v>
      </c>
      <c r="M2" s="13" t="s">
        <v>92</v>
      </c>
    </row>
    <row r="3" ht="62" customHeight="1" spans="1:13" x14ac:dyDescent="0.25">
      <c r="A3" s="12" t="s">
        <v>93</v>
      </c>
      <c r="B3" s="13" t="s">
        <v>82</v>
      </c>
      <c r="C3" s="13" t="s">
        <v>94</v>
      </c>
      <c r="D3" s="14" t="s">
        <v>95</v>
      </c>
      <c r="E3" s="13" t="s">
        <v>96</v>
      </c>
      <c r="F3" s="13" t="s">
        <v>97</v>
      </c>
      <c r="G3" s="13" t="s">
        <v>98</v>
      </c>
      <c r="H3" s="15" t="s">
        <v>88</v>
      </c>
      <c r="I3" s="15" t="s">
        <v>81</v>
      </c>
      <c r="J3" s="16" t="s">
        <v>90</v>
      </c>
      <c r="K3" s="15">
        <v>8</v>
      </c>
      <c r="L3" s="17" t="s">
        <v>91</v>
      </c>
      <c r="M3" s="13" t="s">
        <v>89</v>
      </c>
    </row>
    <row r="4" ht="62" customHeight="1" spans="1:13" x14ac:dyDescent="0.25">
      <c r="A4" s="12" t="s">
        <v>99</v>
      </c>
      <c r="B4" s="13" t="s">
        <v>82</v>
      </c>
      <c r="C4" s="13" t="s">
        <v>100</v>
      </c>
      <c r="D4" s="14" t="s">
        <v>101</v>
      </c>
      <c r="E4" s="13" t="s">
        <v>102</v>
      </c>
      <c r="F4" s="13" t="s">
        <v>103</v>
      </c>
      <c r="G4" s="13" t="s">
        <v>104</v>
      </c>
      <c r="H4" s="15" t="s">
        <v>105</v>
      </c>
      <c r="I4" s="15" t="s">
        <v>81</v>
      </c>
      <c r="J4" s="16" t="s">
        <v>90</v>
      </c>
      <c r="K4" s="15">
        <v>10</v>
      </c>
      <c r="L4" s="17" t="s">
        <v>91</v>
      </c>
      <c r="M4" s="13" t="s">
        <v>106</v>
      </c>
    </row>
    <row r="5" ht="62" customHeight="1" spans="1:13" x14ac:dyDescent="0.25">
      <c r="A5" s="12" t="s">
        <v>107</v>
      </c>
      <c r="B5" s="13" t="s">
        <v>82</v>
      </c>
      <c r="C5" s="13" t="s">
        <v>108</v>
      </c>
      <c r="D5" s="14" t="s">
        <v>109</v>
      </c>
      <c r="E5" s="13" t="s">
        <v>110</v>
      </c>
      <c r="F5" s="13" t="s">
        <v>111</v>
      </c>
      <c r="G5" s="13" t="s">
        <v>112</v>
      </c>
      <c r="H5" s="15" t="s">
        <v>113</v>
      </c>
      <c r="I5" s="15" t="s">
        <v>99</v>
      </c>
      <c r="J5" s="16" t="s">
        <v>90</v>
      </c>
      <c r="K5" s="15">
        <v>24</v>
      </c>
      <c r="L5" s="17" t="s">
        <v>91</v>
      </c>
      <c r="M5" s="13" t="s">
        <v>114</v>
      </c>
    </row>
    <row r="6" ht="62" customHeight="1" spans="1:13" x14ac:dyDescent="0.25">
      <c r="A6" s="12" t="s">
        <v>115</v>
      </c>
      <c r="B6" s="13" t="s">
        <v>82</v>
      </c>
      <c r="C6" s="13" t="s">
        <v>116</v>
      </c>
      <c r="D6" s="14" t="s">
        <v>117</v>
      </c>
      <c r="E6" s="13" t="s">
        <v>118</v>
      </c>
      <c r="F6" s="13" t="s">
        <v>119</v>
      </c>
      <c r="G6" s="13" t="s">
        <v>120</v>
      </c>
      <c r="H6" s="15" t="s">
        <v>113</v>
      </c>
      <c r="I6" s="15" t="s">
        <v>107</v>
      </c>
      <c r="J6" s="16" t="s">
        <v>90</v>
      </c>
      <c r="K6" s="15">
        <v>12</v>
      </c>
      <c r="L6" s="17" t="s">
        <v>91</v>
      </c>
      <c r="M6" s="13" t="s">
        <v>121</v>
      </c>
    </row>
    <row r="7" ht="62" customHeight="1" spans="1:13" x14ac:dyDescent="0.25">
      <c r="A7" s="12" t="s">
        <v>122</v>
      </c>
      <c r="B7" s="13" t="s">
        <v>82</v>
      </c>
      <c r="C7" s="13" t="s">
        <v>123</v>
      </c>
      <c r="D7" s="14" t="s">
        <v>124</v>
      </c>
      <c r="E7" s="13" t="s">
        <v>125</v>
      </c>
      <c r="F7" s="13" t="s">
        <v>126</v>
      </c>
      <c r="G7" s="13" t="s">
        <v>127</v>
      </c>
      <c r="H7" s="15" t="s">
        <v>113</v>
      </c>
      <c r="I7" s="15" t="s">
        <v>81</v>
      </c>
      <c r="J7" s="16" t="s">
        <v>90</v>
      </c>
      <c r="K7" s="15">
        <v>10</v>
      </c>
      <c r="L7" s="17" t="s">
        <v>91</v>
      </c>
      <c r="M7" s="13" t="s">
        <v>89</v>
      </c>
    </row>
    <row r="8" ht="62" customHeight="1" spans="1:13" x14ac:dyDescent="0.25">
      <c r="A8" s="12" t="s">
        <v>128</v>
      </c>
      <c r="B8" s="13" t="s">
        <v>82</v>
      </c>
      <c r="C8" s="13" t="s">
        <v>129</v>
      </c>
      <c r="D8" s="14" t="s">
        <v>130</v>
      </c>
      <c r="E8" s="13" t="s">
        <v>131</v>
      </c>
      <c r="F8" s="13" t="s">
        <v>132</v>
      </c>
      <c r="G8" s="13" t="s">
        <v>133</v>
      </c>
      <c r="H8" s="15" t="s">
        <v>113</v>
      </c>
      <c r="I8" s="15" t="s">
        <v>122</v>
      </c>
      <c r="J8" s="18" t="s">
        <v>134</v>
      </c>
      <c r="K8" s="15">
        <v>6</v>
      </c>
      <c r="L8" s="17" t="s">
        <v>91</v>
      </c>
      <c r="M8" s="13" t="s">
        <v>89</v>
      </c>
    </row>
    <row r="9" ht="62" customHeight="1" spans="1:13" x14ac:dyDescent="0.25">
      <c r="A9" s="12" t="s">
        <v>135</v>
      </c>
      <c r="B9" s="13" t="s">
        <v>82</v>
      </c>
      <c r="C9" s="13" t="s">
        <v>136</v>
      </c>
      <c r="D9" s="14" t="s">
        <v>137</v>
      </c>
      <c r="E9" s="13" t="s">
        <v>138</v>
      </c>
      <c r="F9" s="13" t="s">
        <v>139</v>
      </c>
      <c r="G9" s="13" t="s">
        <v>140</v>
      </c>
      <c r="H9" s="15" t="s">
        <v>105</v>
      </c>
      <c r="I9" s="15" t="s">
        <v>93</v>
      </c>
      <c r="J9" s="16" t="s">
        <v>90</v>
      </c>
      <c r="K9" s="15">
        <v>6</v>
      </c>
      <c r="L9" s="17" t="s">
        <v>91</v>
      </c>
      <c r="M9" s="13" t="s">
        <v>141</v>
      </c>
    </row>
    <row r="10" ht="62" customHeight="1" spans="1:13" x14ac:dyDescent="0.25">
      <c r="A10" s="12" t="s">
        <v>142</v>
      </c>
      <c r="B10" s="13" t="s">
        <v>82</v>
      </c>
      <c r="C10" s="13" t="s">
        <v>143</v>
      </c>
      <c r="D10" s="14" t="s">
        <v>144</v>
      </c>
      <c r="E10" s="13" t="s">
        <v>145</v>
      </c>
      <c r="F10" s="13" t="s">
        <v>146</v>
      </c>
      <c r="G10" s="13" t="s">
        <v>147</v>
      </c>
      <c r="H10" s="15" t="s">
        <v>148</v>
      </c>
      <c r="I10" s="15" t="s">
        <v>81</v>
      </c>
      <c r="J10" s="18" t="s">
        <v>134</v>
      </c>
      <c r="K10" s="15">
        <v>16</v>
      </c>
      <c r="L10" s="17" t="s">
        <v>91</v>
      </c>
      <c r="M10" s="13" t="s">
        <v>149</v>
      </c>
    </row>
    <row r="11" ht="62" customHeight="1" spans="1:13" x14ac:dyDescent="0.25">
      <c r="A11" s="12" t="s">
        <v>150</v>
      </c>
      <c r="B11" s="13" t="s">
        <v>151</v>
      </c>
      <c r="C11" s="13" t="s">
        <v>152</v>
      </c>
      <c r="D11" s="14" t="s">
        <v>153</v>
      </c>
      <c r="E11" s="13" t="s">
        <v>154</v>
      </c>
      <c r="F11" s="13" t="s">
        <v>155</v>
      </c>
      <c r="G11" s="13" t="s">
        <v>156</v>
      </c>
      <c r="H11" s="15" t="s">
        <v>113</v>
      </c>
      <c r="I11" s="15" t="s">
        <v>107</v>
      </c>
      <c r="J11" s="16" t="s">
        <v>90</v>
      </c>
      <c r="K11" s="15">
        <v>20</v>
      </c>
      <c r="L11" s="17" t="s">
        <v>91</v>
      </c>
      <c r="M11" s="13" t="s">
        <v>157</v>
      </c>
    </row>
    <row r="12" ht="62" customHeight="1" spans="1:13" x14ac:dyDescent="0.25">
      <c r="A12" s="12" t="s">
        <v>158</v>
      </c>
      <c r="B12" s="13" t="s">
        <v>151</v>
      </c>
      <c r="C12" s="13" t="s">
        <v>152</v>
      </c>
      <c r="D12" s="14" t="s">
        <v>159</v>
      </c>
      <c r="E12" s="13" t="s">
        <v>160</v>
      </c>
      <c r="F12" s="13" t="s">
        <v>161</v>
      </c>
      <c r="G12" s="13" t="s">
        <v>162</v>
      </c>
      <c r="H12" s="15" t="s">
        <v>163</v>
      </c>
      <c r="I12" s="15" t="s">
        <v>150</v>
      </c>
      <c r="J12" s="16" t="s">
        <v>90</v>
      </c>
      <c r="K12" s="15">
        <v>8</v>
      </c>
      <c r="L12" s="17" t="s">
        <v>91</v>
      </c>
      <c r="M12" s="13" t="s">
        <v>89</v>
      </c>
    </row>
    <row r="13" ht="62" customHeight="1" spans="1:13" x14ac:dyDescent="0.25">
      <c r="A13" s="12" t="s">
        <v>164</v>
      </c>
      <c r="B13" s="13" t="s">
        <v>151</v>
      </c>
      <c r="C13" s="13" t="s">
        <v>165</v>
      </c>
      <c r="D13" s="14" t="s">
        <v>166</v>
      </c>
      <c r="E13" s="13" t="s">
        <v>167</v>
      </c>
      <c r="F13" s="13" t="s">
        <v>168</v>
      </c>
      <c r="G13" s="13" t="s">
        <v>169</v>
      </c>
      <c r="H13" s="15" t="s">
        <v>163</v>
      </c>
      <c r="I13" s="15" t="s">
        <v>150</v>
      </c>
      <c r="J13" s="16" t="s">
        <v>90</v>
      </c>
      <c r="K13" s="15">
        <v>12</v>
      </c>
      <c r="L13" s="17" t="s">
        <v>91</v>
      </c>
      <c r="M13" s="13" t="s">
        <v>170</v>
      </c>
    </row>
    <row r="14" ht="62" customHeight="1" spans="1:13" x14ac:dyDescent="0.25">
      <c r="A14" s="12" t="s">
        <v>171</v>
      </c>
      <c r="B14" s="13" t="s">
        <v>151</v>
      </c>
      <c r="C14" s="13" t="s">
        <v>172</v>
      </c>
      <c r="D14" s="14" t="s">
        <v>173</v>
      </c>
      <c r="E14" s="13" t="s">
        <v>174</v>
      </c>
      <c r="F14" s="13" t="s">
        <v>175</v>
      </c>
      <c r="G14" s="13" t="s">
        <v>176</v>
      </c>
      <c r="H14" s="15" t="s">
        <v>113</v>
      </c>
      <c r="I14" s="15" t="s">
        <v>150</v>
      </c>
      <c r="J14" s="16" t="s">
        <v>90</v>
      </c>
      <c r="K14" s="15">
        <v>16</v>
      </c>
      <c r="L14" s="17" t="s">
        <v>91</v>
      </c>
      <c r="M14" s="13" t="s">
        <v>177</v>
      </c>
    </row>
    <row r="15" ht="62" customHeight="1" spans="1:13" x14ac:dyDescent="0.25">
      <c r="A15" s="12" t="s">
        <v>178</v>
      </c>
      <c r="B15" s="13" t="s">
        <v>151</v>
      </c>
      <c r="C15" s="13" t="s">
        <v>172</v>
      </c>
      <c r="D15" s="14" t="s">
        <v>179</v>
      </c>
      <c r="E15" s="13" t="s">
        <v>180</v>
      </c>
      <c r="F15" s="13" t="s">
        <v>181</v>
      </c>
      <c r="G15" s="13" t="s">
        <v>182</v>
      </c>
      <c r="H15" s="15" t="s">
        <v>113</v>
      </c>
      <c r="I15" s="15" t="s">
        <v>171</v>
      </c>
      <c r="J15" s="16" t="s">
        <v>90</v>
      </c>
      <c r="K15" s="15">
        <v>14</v>
      </c>
      <c r="L15" s="17" t="s">
        <v>91</v>
      </c>
      <c r="M15" s="13" t="s">
        <v>183</v>
      </c>
    </row>
    <row r="16" ht="62" customHeight="1" spans="1:13" x14ac:dyDescent="0.25">
      <c r="A16" s="12" t="s">
        <v>184</v>
      </c>
      <c r="B16" s="13" t="s">
        <v>151</v>
      </c>
      <c r="C16" s="13" t="s">
        <v>185</v>
      </c>
      <c r="D16" s="14" t="s">
        <v>186</v>
      </c>
      <c r="E16" s="13" t="s">
        <v>187</v>
      </c>
      <c r="F16" s="13" t="s">
        <v>188</v>
      </c>
      <c r="G16" s="13" t="s">
        <v>189</v>
      </c>
      <c r="H16" s="15" t="s">
        <v>113</v>
      </c>
      <c r="I16" s="15" t="s">
        <v>122</v>
      </c>
      <c r="J16" s="16" t="s">
        <v>90</v>
      </c>
      <c r="K16" s="15">
        <v>10</v>
      </c>
      <c r="L16" s="17" t="s">
        <v>91</v>
      </c>
      <c r="M16" s="13" t="s">
        <v>190</v>
      </c>
    </row>
    <row r="17" ht="62" customHeight="1" spans="1:13" x14ac:dyDescent="0.25">
      <c r="A17" s="12" t="s">
        <v>191</v>
      </c>
      <c r="B17" s="13" t="s">
        <v>151</v>
      </c>
      <c r="C17" s="13" t="s">
        <v>192</v>
      </c>
      <c r="D17" s="14" t="s">
        <v>193</v>
      </c>
      <c r="E17" s="13" t="s">
        <v>194</v>
      </c>
      <c r="F17" s="13" t="s">
        <v>195</v>
      </c>
      <c r="G17" s="13" t="s">
        <v>196</v>
      </c>
      <c r="H17" s="15" t="s">
        <v>113</v>
      </c>
      <c r="I17" s="15" t="s">
        <v>150</v>
      </c>
      <c r="J17" s="16" t="s">
        <v>90</v>
      </c>
      <c r="K17" s="15">
        <v>12</v>
      </c>
      <c r="L17" s="17" t="s">
        <v>91</v>
      </c>
      <c r="M17" s="13" t="s">
        <v>197</v>
      </c>
    </row>
    <row r="18" ht="62" customHeight="1" spans="1:13" x14ac:dyDescent="0.25">
      <c r="A18" s="12" t="s">
        <v>198</v>
      </c>
      <c r="B18" s="13" t="s">
        <v>151</v>
      </c>
      <c r="C18" s="13" t="s">
        <v>199</v>
      </c>
      <c r="D18" s="14" t="s">
        <v>200</v>
      </c>
      <c r="E18" s="13" t="s">
        <v>201</v>
      </c>
      <c r="F18" s="13" t="s">
        <v>202</v>
      </c>
      <c r="G18" s="13" t="s">
        <v>203</v>
      </c>
      <c r="H18" s="15" t="s">
        <v>113</v>
      </c>
      <c r="I18" s="15" t="s">
        <v>171</v>
      </c>
      <c r="J18" s="16" t="s">
        <v>90</v>
      </c>
      <c r="K18" s="15">
        <v>10</v>
      </c>
      <c r="L18" s="17" t="s">
        <v>91</v>
      </c>
      <c r="M18" s="13" t="s">
        <v>204</v>
      </c>
    </row>
    <row r="19" ht="62" customHeight="1" spans="1:13" x14ac:dyDescent="0.25">
      <c r="A19" s="12" t="s">
        <v>205</v>
      </c>
      <c r="B19" s="13" t="s">
        <v>151</v>
      </c>
      <c r="C19" s="13" t="s">
        <v>206</v>
      </c>
      <c r="D19" s="14" t="s">
        <v>207</v>
      </c>
      <c r="E19" s="13" t="s">
        <v>208</v>
      </c>
      <c r="F19" s="13" t="s">
        <v>209</v>
      </c>
      <c r="G19" s="13" t="s">
        <v>210</v>
      </c>
      <c r="H19" s="15" t="s">
        <v>211</v>
      </c>
      <c r="I19" s="15" t="s">
        <v>212</v>
      </c>
      <c r="J19" s="16" t="s">
        <v>90</v>
      </c>
      <c r="K19" s="15">
        <v>16</v>
      </c>
      <c r="L19" s="19" t="s">
        <v>28</v>
      </c>
      <c r="M19" s="13" t="s">
        <v>213</v>
      </c>
    </row>
    <row r="20" ht="62" customHeight="1" spans="1:13" x14ac:dyDescent="0.25">
      <c r="A20" s="12" t="s">
        <v>214</v>
      </c>
      <c r="B20" s="13" t="s">
        <v>215</v>
      </c>
      <c r="C20" s="13" t="s">
        <v>216</v>
      </c>
      <c r="D20" s="14" t="s">
        <v>217</v>
      </c>
      <c r="E20" s="13" t="s">
        <v>218</v>
      </c>
      <c r="F20" s="13" t="s">
        <v>219</v>
      </c>
      <c r="G20" s="13" t="s">
        <v>220</v>
      </c>
      <c r="H20" s="15" t="s">
        <v>113</v>
      </c>
      <c r="I20" s="15" t="s">
        <v>107</v>
      </c>
      <c r="J20" s="16" t="s">
        <v>90</v>
      </c>
      <c r="K20" s="15">
        <v>24</v>
      </c>
      <c r="L20" s="17" t="s">
        <v>91</v>
      </c>
      <c r="M20" s="13" t="s">
        <v>89</v>
      </c>
    </row>
    <row r="21" ht="62" customHeight="1" spans="1:13" x14ac:dyDescent="0.25">
      <c r="A21" s="12" t="s">
        <v>221</v>
      </c>
      <c r="B21" s="13" t="s">
        <v>215</v>
      </c>
      <c r="C21" s="13" t="s">
        <v>222</v>
      </c>
      <c r="D21" s="14" t="s">
        <v>223</v>
      </c>
      <c r="E21" s="13" t="s">
        <v>224</v>
      </c>
      <c r="F21" s="13" t="s">
        <v>225</v>
      </c>
      <c r="G21" s="13" t="s">
        <v>226</v>
      </c>
      <c r="H21" s="15" t="s">
        <v>113</v>
      </c>
      <c r="I21" s="15" t="s">
        <v>214</v>
      </c>
      <c r="J21" s="16" t="s">
        <v>90</v>
      </c>
      <c r="K21" s="15">
        <v>14</v>
      </c>
      <c r="L21" s="17" t="s">
        <v>91</v>
      </c>
      <c r="M21" s="13" t="s">
        <v>227</v>
      </c>
    </row>
    <row r="22" ht="62" customHeight="1" spans="1:13" x14ac:dyDescent="0.25">
      <c r="A22" s="12" t="s">
        <v>228</v>
      </c>
      <c r="B22" s="13" t="s">
        <v>215</v>
      </c>
      <c r="C22" s="13" t="s">
        <v>229</v>
      </c>
      <c r="D22" s="14" t="s">
        <v>230</v>
      </c>
      <c r="E22" s="13" t="s">
        <v>231</v>
      </c>
      <c r="F22" s="13" t="s">
        <v>232</v>
      </c>
      <c r="G22" s="13" t="s">
        <v>233</v>
      </c>
      <c r="H22" s="15" t="s">
        <v>163</v>
      </c>
      <c r="I22" s="15" t="s">
        <v>158</v>
      </c>
      <c r="J22" s="16" t="s">
        <v>90</v>
      </c>
      <c r="K22" s="15">
        <v>20</v>
      </c>
      <c r="L22" s="17" t="s">
        <v>91</v>
      </c>
      <c r="M22" s="13" t="s">
        <v>234</v>
      </c>
    </row>
    <row r="23" ht="62" customHeight="1" spans="1:13" x14ac:dyDescent="0.25">
      <c r="A23" s="12" t="s">
        <v>235</v>
      </c>
      <c r="B23" s="13" t="s">
        <v>215</v>
      </c>
      <c r="C23" s="13" t="s">
        <v>236</v>
      </c>
      <c r="D23" s="14" t="s">
        <v>237</v>
      </c>
      <c r="E23" s="13" t="s">
        <v>238</v>
      </c>
      <c r="F23" s="13" t="s">
        <v>239</v>
      </c>
      <c r="G23" s="13" t="s">
        <v>240</v>
      </c>
      <c r="H23" s="15" t="s">
        <v>148</v>
      </c>
      <c r="I23" s="15" t="s">
        <v>221</v>
      </c>
      <c r="J23" s="18" t="s">
        <v>134</v>
      </c>
      <c r="K23" s="15">
        <v>22</v>
      </c>
      <c r="L23" s="17" t="s">
        <v>91</v>
      </c>
      <c r="M23" s="13" t="s">
        <v>241</v>
      </c>
    </row>
    <row r="24" ht="62" customHeight="1" spans="1:13" x14ac:dyDescent="0.25">
      <c r="A24" s="12" t="s">
        <v>242</v>
      </c>
      <c r="B24" s="13" t="s">
        <v>215</v>
      </c>
      <c r="C24" s="13" t="s">
        <v>199</v>
      </c>
      <c r="D24" s="14" t="s">
        <v>243</v>
      </c>
      <c r="E24" s="13" t="s">
        <v>244</v>
      </c>
      <c r="F24" s="13" t="s">
        <v>245</v>
      </c>
      <c r="G24" s="13" t="s">
        <v>246</v>
      </c>
      <c r="H24" s="15" t="s">
        <v>163</v>
      </c>
      <c r="I24" s="15" t="s">
        <v>198</v>
      </c>
      <c r="J24" s="20" t="s">
        <v>247</v>
      </c>
      <c r="K24" s="15">
        <v>16</v>
      </c>
      <c r="L24" s="19" t="s">
        <v>28</v>
      </c>
      <c r="M24" s="13" t="s">
        <v>248</v>
      </c>
    </row>
    <row r="25" ht="62" customHeight="1" spans="1:13" x14ac:dyDescent="0.25">
      <c r="A25" s="12" t="s">
        <v>249</v>
      </c>
      <c r="B25" s="13" t="s">
        <v>250</v>
      </c>
      <c r="C25" s="13" t="s">
        <v>251</v>
      </c>
      <c r="D25" s="14" t="s">
        <v>252</v>
      </c>
      <c r="E25" s="13" t="s">
        <v>253</v>
      </c>
      <c r="F25" s="13" t="s">
        <v>254</v>
      </c>
      <c r="G25" s="13" t="s">
        <v>255</v>
      </c>
      <c r="H25" s="15" t="s">
        <v>148</v>
      </c>
      <c r="I25" s="15" t="s">
        <v>235</v>
      </c>
      <c r="J25" s="16" t="s">
        <v>90</v>
      </c>
      <c r="K25" s="15">
        <v>24</v>
      </c>
      <c r="L25" s="17" t="s">
        <v>91</v>
      </c>
      <c r="M25" s="13" t="s">
        <v>256</v>
      </c>
    </row>
    <row r="26" ht="62" customHeight="1" spans="1:13" x14ac:dyDescent="0.25">
      <c r="A26" s="12" t="s">
        <v>257</v>
      </c>
      <c r="B26" s="13" t="s">
        <v>250</v>
      </c>
      <c r="C26" s="13" t="s">
        <v>258</v>
      </c>
      <c r="D26" s="14" t="s">
        <v>259</v>
      </c>
      <c r="E26" s="13" t="s">
        <v>260</v>
      </c>
      <c r="F26" s="13" t="s">
        <v>261</v>
      </c>
      <c r="G26" s="13" t="s">
        <v>262</v>
      </c>
      <c r="H26" s="15" t="s">
        <v>148</v>
      </c>
      <c r="I26" s="15" t="s">
        <v>249</v>
      </c>
      <c r="J26" s="16" t="s">
        <v>90</v>
      </c>
      <c r="K26" s="15">
        <v>28</v>
      </c>
      <c r="L26" s="17" t="s">
        <v>91</v>
      </c>
      <c r="M26" s="13" t="s">
        <v>263</v>
      </c>
    </row>
    <row r="27" ht="62" customHeight="1" spans="1:13" x14ac:dyDescent="0.25">
      <c r="A27" s="12" t="s">
        <v>264</v>
      </c>
      <c r="B27" s="13" t="s">
        <v>250</v>
      </c>
      <c r="C27" s="13" t="s">
        <v>265</v>
      </c>
      <c r="D27" s="14" t="s">
        <v>266</v>
      </c>
      <c r="E27" s="13" t="s">
        <v>267</v>
      </c>
      <c r="F27" s="13" t="s">
        <v>268</v>
      </c>
      <c r="G27" s="13" t="s">
        <v>269</v>
      </c>
      <c r="H27" s="15" t="s">
        <v>163</v>
      </c>
      <c r="I27" s="15" t="s">
        <v>214</v>
      </c>
      <c r="J27" s="16" t="s">
        <v>90</v>
      </c>
      <c r="K27" s="15">
        <v>26</v>
      </c>
      <c r="L27" s="17" t="s">
        <v>91</v>
      </c>
      <c r="M27" s="13" t="s">
        <v>270</v>
      </c>
    </row>
    <row r="28" ht="62" customHeight="1" spans="1:13" x14ac:dyDescent="0.25">
      <c r="A28" s="12" t="s">
        <v>271</v>
      </c>
      <c r="B28" s="13" t="s">
        <v>250</v>
      </c>
      <c r="C28" s="13" t="s">
        <v>272</v>
      </c>
      <c r="D28" s="14" t="s">
        <v>273</v>
      </c>
      <c r="E28" s="13" t="s">
        <v>274</v>
      </c>
      <c r="F28" s="13" t="s">
        <v>275</v>
      </c>
      <c r="G28" s="13" t="s">
        <v>276</v>
      </c>
      <c r="H28" s="15" t="s">
        <v>113</v>
      </c>
      <c r="I28" s="15" t="s">
        <v>277</v>
      </c>
      <c r="J28" s="18" t="s">
        <v>134</v>
      </c>
      <c r="K28" s="15">
        <v>14</v>
      </c>
      <c r="L28" s="17" t="s">
        <v>91</v>
      </c>
      <c r="M28" s="13" t="s">
        <v>278</v>
      </c>
    </row>
    <row r="29" ht="62" customHeight="1" spans="1:13" x14ac:dyDescent="0.25">
      <c r="A29" s="12" t="s">
        <v>279</v>
      </c>
      <c r="B29" s="13" t="s">
        <v>250</v>
      </c>
      <c r="C29" s="13" t="s">
        <v>280</v>
      </c>
      <c r="D29" s="14" t="s">
        <v>281</v>
      </c>
      <c r="E29" s="13" t="s">
        <v>282</v>
      </c>
      <c r="F29" s="13" t="s">
        <v>283</v>
      </c>
      <c r="G29" s="13" t="s">
        <v>284</v>
      </c>
      <c r="H29" s="15" t="s">
        <v>113</v>
      </c>
      <c r="I29" s="15" t="s">
        <v>285</v>
      </c>
      <c r="J29" s="18" t="s">
        <v>134</v>
      </c>
      <c r="K29" s="15">
        <v>10</v>
      </c>
      <c r="L29" s="17" t="s">
        <v>91</v>
      </c>
      <c r="M29" s="13" t="s">
        <v>89</v>
      </c>
    </row>
    <row r="30" ht="62" customHeight="1" spans="1:13" x14ac:dyDescent="0.25">
      <c r="A30" s="12" t="s">
        <v>286</v>
      </c>
      <c r="B30" s="13" t="s">
        <v>287</v>
      </c>
      <c r="C30" s="13" t="s">
        <v>288</v>
      </c>
      <c r="D30" s="14" t="s">
        <v>289</v>
      </c>
      <c r="E30" s="13" t="s">
        <v>290</v>
      </c>
      <c r="F30" s="13" t="s">
        <v>291</v>
      </c>
      <c r="G30" s="13" t="s">
        <v>292</v>
      </c>
      <c r="H30" s="15" t="s">
        <v>163</v>
      </c>
      <c r="I30" s="15" t="s">
        <v>257</v>
      </c>
      <c r="J30" s="16" t="s">
        <v>90</v>
      </c>
      <c r="K30" s="15">
        <v>24</v>
      </c>
      <c r="L30" s="17" t="s">
        <v>91</v>
      </c>
      <c r="M30" s="13" t="s">
        <v>89</v>
      </c>
    </row>
    <row r="31" ht="62" customHeight="1" spans="1:13" x14ac:dyDescent="0.25">
      <c r="A31" s="12" t="s">
        <v>293</v>
      </c>
      <c r="B31" s="13" t="s">
        <v>287</v>
      </c>
      <c r="C31" s="13" t="s">
        <v>288</v>
      </c>
      <c r="D31" s="14" t="s">
        <v>294</v>
      </c>
      <c r="E31" s="13" t="s">
        <v>295</v>
      </c>
      <c r="F31" s="13" t="s">
        <v>296</v>
      </c>
      <c r="G31" s="13" t="s">
        <v>297</v>
      </c>
      <c r="H31" s="15" t="s">
        <v>113</v>
      </c>
      <c r="I31" s="15" t="s">
        <v>286</v>
      </c>
      <c r="J31" s="18" t="s">
        <v>134</v>
      </c>
      <c r="K31" s="15">
        <v>8</v>
      </c>
      <c r="L31" s="17" t="s">
        <v>91</v>
      </c>
      <c r="M31" s="21" t="s">
        <v>298</v>
      </c>
    </row>
    <row r="32" ht="62" customHeight="1" spans="1:13" x14ac:dyDescent="0.25">
      <c r="A32" s="12" t="s">
        <v>299</v>
      </c>
      <c r="B32" s="13" t="s">
        <v>287</v>
      </c>
      <c r="C32" s="13" t="s">
        <v>300</v>
      </c>
      <c r="D32" s="14" t="s">
        <v>301</v>
      </c>
      <c r="E32" s="13" t="s">
        <v>302</v>
      </c>
      <c r="F32" s="13" t="s">
        <v>303</v>
      </c>
      <c r="G32" s="13" t="s">
        <v>304</v>
      </c>
      <c r="H32" s="15" t="s">
        <v>163</v>
      </c>
      <c r="I32" s="15" t="s">
        <v>257</v>
      </c>
      <c r="J32" s="16" t="s">
        <v>90</v>
      </c>
      <c r="K32" s="15">
        <v>18</v>
      </c>
      <c r="L32" s="17" t="s">
        <v>91</v>
      </c>
      <c r="M32" s="13" t="s">
        <v>89</v>
      </c>
    </row>
    <row r="33" ht="62" customHeight="1" spans="1:13" x14ac:dyDescent="0.25">
      <c r="A33" s="12" t="s">
        <v>305</v>
      </c>
      <c r="B33" s="13" t="s">
        <v>287</v>
      </c>
      <c r="C33" s="13" t="s">
        <v>306</v>
      </c>
      <c r="D33" s="14" t="s">
        <v>307</v>
      </c>
      <c r="E33" s="13" t="s">
        <v>308</v>
      </c>
      <c r="F33" s="13" t="s">
        <v>309</v>
      </c>
      <c r="G33" s="13" t="s">
        <v>310</v>
      </c>
      <c r="H33" s="15" t="s">
        <v>113</v>
      </c>
      <c r="I33" s="15" t="s">
        <v>286</v>
      </c>
      <c r="J33" s="16" t="s">
        <v>90</v>
      </c>
      <c r="K33" s="15">
        <v>32</v>
      </c>
      <c r="L33" s="17" t="s">
        <v>91</v>
      </c>
      <c r="M33" s="21" t="s">
        <v>311</v>
      </c>
    </row>
    <row r="34" ht="62" customHeight="1" spans="1:13" x14ac:dyDescent="0.25">
      <c r="A34" s="12" t="s">
        <v>312</v>
      </c>
      <c r="B34" s="13" t="s">
        <v>287</v>
      </c>
      <c r="C34" s="13" t="s">
        <v>313</v>
      </c>
      <c r="D34" s="14" t="s">
        <v>314</v>
      </c>
      <c r="E34" s="13" t="s">
        <v>315</v>
      </c>
      <c r="F34" s="13" t="s">
        <v>316</v>
      </c>
      <c r="G34" s="13" t="s">
        <v>317</v>
      </c>
      <c r="H34" s="15" t="s">
        <v>163</v>
      </c>
      <c r="I34" s="15" t="s">
        <v>305</v>
      </c>
      <c r="J34" s="18" t="s">
        <v>134</v>
      </c>
      <c r="K34" s="15">
        <v>20</v>
      </c>
      <c r="L34" s="17" t="s">
        <v>91</v>
      </c>
      <c r="M34" s="13" t="s">
        <v>318</v>
      </c>
    </row>
    <row r="35" ht="62" customHeight="1" spans="1:13" x14ac:dyDescent="0.25">
      <c r="A35" s="12" t="s">
        <v>319</v>
      </c>
      <c r="B35" s="13" t="s">
        <v>287</v>
      </c>
      <c r="C35" s="13" t="s">
        <v>272</v>
      </c>
      <c r="D35" s="14" t="s">
        <v>320</v>
      </c>
      <c r="E35" s="13" t="s">
        <v>321</v>
      </c>
      <c r="F35" s="13" t="s">
        <v>322</v>
      </c>
      <c r="G35" s="13" t="s">
        <v>323</v>
      </c>
      <c r="H35" s="15" t="s">
        <v>324</v>
      </c>
      <c r="I35" s="15" t="s">
        <v>305</v>
      </c>
      <c r="J35" s="16" t="s">
        <v>90</v>
      </c>
      <c r="K35" s="15">
        <v>12</v>
      </c>
      <c r="L35" s="19" t="s">
        <v>28</v>
      </c>
      <c r="M35" s="21" t="s">
        <v>325</v>
      </c>
    </row>
    <row r="36" ht="62" customHeight="1" spans="1:13" x14ac:dyDescent="0.25">
      <c r="A36" s="12" t="s">
        <v>326</v>
      </c>
      <c r="B36" s="13" t="s">
        <v>327</v>
      </c>
      <c r="C36" s="13" t="s">
        <v>328</v>
      </c>
      <c r="D36" s="14" t="s">
        <v>329</v>
      </c>
      <c r="E36" s="13" t="s">
        <v>330</v>
      </c>
      <c r="F36" s="13" t="s">
        <v>331</v>
      </c>
      <c r="G36" s="13" t="s">
        <v>332</v>
      </c>
      <c r="H36" s="15" t="s">
        <v>113</v>
      </c>
      <c r="I36" s="15" t="s">
        <v>184</v>
      </c>
      <c r="J36" s="16" t="s">
        <v>90</v>
      </c>
      <c r="K36" s="15">
        <v>14</v>
      </c>
      <c r="L36" s="17" t="s">
        <v>91</v>
      </c>
      <c r="M36" s="13" t="s">
        <v>333</v>
      </c>
    </row>
    <row r="37" ht="62" customHeight="1" spans="1:13" x14ac:dyDescent="0.25">
      <c r="A37" s="12" t="s">
        <v>334</v>
      </c>
      <c r="B37" s="13" t="s">
        <v>327</v>
      </c>
      <c r="C37" s="13" t="s">
        <v>108</v>
      </c>
      <c r="D37" s="14" t="s">
        <v>335</v>
      </c>
      <c r="E37" s="13" t="s">
        <v>336</v>
      </c>
      <c r="F37" s="13" t="s">
        <v>337</v>
      </c>
      <c r="G37" s="13" t="s">
        <v>338</v>
      </c>
      <c r="H37" s="15" t="s">
        <v>113</v>
      </c>
      <c r="I37" s="15" t="s">
        <v>107</v>
      </c>
      <c r="J37" s="16" t="s">
        <v>90</v>
      </c>
      <c r="K37" s="15">
        <v>18</v>
      </c>
      <c r="L37" s="17" t="s">
        <v>91</v>
      </c>
      <c r="M37" s="13" t="s">
        <v>339</v>
      </c>
    </row>
    <row r="38" ht="62" customHeight="1" spans="1:13" x14ac:dyDescent="0.25">
      <c r="A38" s="12" t="s">
        <v>340</v>
      </c>
      <c r="B38" s="13" t="s">
        <v>327</v>
      </c>
      <c r="C38" s="13" t="s">
        <v>341</v>
      </c>
      <c r="D38" s="14" t="s">
        <v>342</v>
      </c>
      <c r="E38" s="13" t="s">
        <v>343</v>
      </c>
      <c r="F38" s="13" t="s">
        <v>344</v>
      </c>
      <c r="G38" s="13" t="s">
        <v>345</v>
      </c>
      <c r="H38" s="15" t="s">
        <v>113</v>
      </c>
      <c r="I38" s="15" t="s">
        <v>334</v>
      </c>
      <c r="J38" s="16" t="s">
        <v>90</v>
      </c>
      <c r="K38" s="15">
        <v>12</v>
      </c>
      <c r="L38" s="17" t="s">
        <v>91</v>
      </c>
      <c r="M38" s="13" t="s">
        <v>346</v>
      </c>
    </row>
    <row r="39" ht="62" customHeight="1" spans="1:13" x14ac:dyDescent="0.25">
      <c r="A39" s="12" t="s">
        <v>347</v>
      </c>
      <c r="B39" s="13" t="s">
        <v>327</v>
      </c>
      <c r="C39" s="13" t="s">
        <v>348</v>
      </c>
      <c r="D39" s="14" t="s">
        <v>349</v>
      </c>
      <c r="E39" s="13" t="s">
        <v>350</v>
      </c>
      <c r="F39" s="13" t="s">
        <v>351</v>
      </c>
      <c r="G39" s="13" t="s">
        <v>352</v>
      </c>
      <c r="H39" s="15" t="s">
        <v>113</v>
      </c>
      <c r="I39" s="15" t="s">
        <v>340</v>
      </c>
      <c r="J39" s="16" t="s">
        <v>90</v>
      </c>
      <c r="K39" s="15">
        <v>36</v>
      </c>
      <c r="L39" s="17" t="s">
        <v>91</v>
      </c>
      <c r="M39" s="13" t="s">
        <v>353</v>
      </c>
    </row>
    <row r="40" ht="62" customHeight="1" spans="1:13" x14ac:dyDescent="0.25">
      <c r="A40" s="12" t="s">
        <v>354</v>
      </c>
      <c r="B40" s="13" t="s">
        <v>327</v>
      </c>
      <c r="C40" s="13" t="s">
        <v>355</v>
      </c>
      <c r="D40" s="14" t="s">
        <v>356</v>
      </c>
      <c r="E40" s="13" t="s">
        <v>357</v>
      </c>
      <c r="F40" s="13" t="s">
        <v>358</v>
      </c>
      <c r="G40" s="13" t="s">
        <v>359</v>
      </c>
      <c r="H40" s="15" t="s">
        <v>113</v>
      </c>
      <c r="I40" s="15" t="s">
        <v>347</v>
      </c>
      <c r="J40" s="16" t="s">
        <v>90</v>
      </c>
      <c r="K40" s="15">
        <v>20</v>
      </c>
      <c r="L40" s="17" t="s">
        <v>91</v>
      </c>
      <c r="M40" s="13" t="s">
        <v>360</v>
      </c>
    </row>
    <row r="41" ht="62" customHeight="1" spans="1:13" x14ac:dyDescent="0.25">
      <c r="A41" s="12" t="s">
        <v>361</v>
      </c>
      <c r="B41" s="13" t="s">
        <v>327</v>
      </c>
      <c r="C41" s="13" t="s">
        <v>362</v>
      </c>
      <c r="D41" s="14" t="s">
        <v>363</v>
      </c>
      <c r="E41" s="13" t="s">
        <v>364</v>
      </c>
      <c r="F41" s="13" t="s">
        <v>365</v>
      </c>
      <c r="G41" s="13" t="s">
        <v>366</v>
      </c>
      <c r="H41" s="15" t="s">
        <v>113</v>
      </c>
      <c r="I41" s="15" t="s">
        <v>354</v>
      </c>
      <c r="J41" s="16" t="s">
        <v>90</v>
      </c>
      <c r="K41" s="15">
        <v>20</v>
      </c>
      <c r="L41" s="17" t="s">
        <v>91</v>
      </c>
      <c r="M41" s="13" t="s">
        <v>367</v>
      </c>
    </row>
    <row r="42" ht="62" customHeight="1" spans="1:13" x14ac:dyDescent="0.25">
      <c r="A42" s="12" t="s">
        <v>368</v>
      </c>
      <c r="B42" s="13" t="s">
        <v>327</v>
      </c>
      <c r="C42" s="13" t="s">
        <v>369</v>
      </c>
      <c r="D42" s="14" t="s">
        <v>370</v>
      </c>
      <c r="E42" s="13" t="s">
        <v>371</v>
      </c>
      <c r="F42" s="13" t="s">
        <v>372</v>
      </c>
      <c r="G42" s="13" t="s">
        <v>373</v>
      </c>
      <c r="H42" s="15" t="s">
        <v>113</v>
      </c>
      <c r="I42" s="15" t="s">
        <v>361</v>
      </c>
      <c r="J42" s="16" t="s">
        <v>90</v>
      </c>
      <c r="K42" s="15">
        <v>28</v>
      </c>
      <c r="L42" s="17" t="s">
        <v>91</v>
      </c>
      <c r="M42" s="13" t="s">
        <v>374</v>
      </c>
    </row>
    <row r="43" ht="62" customHeight="1" spans="1:13" x14ac:dyDescent="0.25">
      <c r="A43" s="12" t="s">
        <v>285</v>
      </c>
      <c r="B43" s="13" t="s">
        <v>327</v>
      </c>
      <c r="C43" s="13" t="s">
        <v>375</v>
      </c>
      <c r="D43" s="14" t="s">
        <v>376</v>
      </c>
      <c r="E43" s="13" t="s">
        <v>377</v>
      </c>
      <c r="F43" s="13" t="s">
        <v>378</v>
      </c>
      <c r="G43" s="13" t="s">
        <v>379</v>
      </c>
      <c r="H43" s="15" t="s">
        <v>113</v>
      </c>
      <c r="I43" s="15" t="s">
        <v>368</v>
      </c>
      <c r="J43" s="16" t="s">
        <v>90</v>
      </c>
      <c r="K43" s="15">
        <v>32</v>
      </c>
      <c r="L43" s="17" t="s">
        <v>91</v>
      </c>
      <c r="M43" s="13" t="s">
        <v>380</v>
      </c>
    </row>
    <row r="44" ht="62" customHeight="1" spans="1:13" x14ac:dyDescent="0.25">
      <c r="A44" s="12" t="s">
        <v>381</v>
      </c>
      <c r="B44" s="13" t="s">
        <v>327</v>
      </c>
      <c r="C44" s="13" t="s">
        <v>236</v>
      </c>
      <c r="D44" s="14" t="s">
        <v>382</v>
      </c>
      <c r="E44" s="13" t="s">
        <v>383</v>
      </c>
      <c r="F44" s="13" t="s">
        <v>384</v>
      </c>
      <c r="G44" s="13" t="s">
        <v>385</v>
      </c>
      <c r="H44" s="15" t="s">
        <v>148</v>
      </c>
      <c r="I44" s="15" t="s">
        <v>347</v>
      </c>
      <c r="J44" s="16" t="s">
        <v>90</v>
      </c>
      <c r="K44" s="15">
        <v>34</v>
      </c>
      <c r="L44" s="17" t="s">
        <v>91</v>
      </c>
      <c r="M44" s="13" t="s">
        <v>386</v>
      </c>
    </row>
    <row r="45" ht="62" customHeight="1" spans="1:13" x14ac:dyDescent="0.25">
      <c r="A45" s="12" t="s">
        <v>387</v>
      </c>
      <c r="B45" s="13" t="s">
        <v>327</v>
      </c>
      <c r="C45" s="13" t="s">
        <v>388</v>
      </c>
      <c r="D45" s="14" t="s">
        <v>389</v>
      </c>
      <c r="E45" s="13" t="s">
        <v>390</v>
      </c>
      <c r="F45" s="13" t="s">
        <v>391</v>
      </c>
      <c r="G45" s="13" t="s">
        <v>392</v>
      </c>
      <c r="H45" s="15" t="s">
        <v>113</v>
      </c>
      <c r="I45" s="15" t="s">
        <v>171</v>
      </c>
      <c r="J45" s="16" t="s">
        <v>90</v>
      </c>
      <c r="K45" s="15">
        <v>18</v>
      </c>
      <c r="L45" s="17" t="s">
        <v>91</v>
      </c>
      <c r="M45" s="13" t="s">
        <v>89</v>
      </c>
    </row>
    <row r="46" ht="62" customHeight="1" spans="1:13" x14ac:dyDescent="0.25">
      <c r="A46" s="12" t="s">
        <v>393</v>
      </c>
      <c r="B46" s="13" t="s">
        <v>327</v>
      </c>
      <c r="C46" s="13" t="s">
        <v>394</v>
      </c>
      <c r="D46" s="14" t="s">
        <v>395</v>
      </c>
      <c r="E46" s="13" t="s">
        <v>396</v>
      </c>
      <c r="F46" s="13" t="s">
        <v>397</v>
      </c>
      <c r="G46" s="13" t="s">
        <v>398</v>
      </c>
      <c r="H46" s="15" t="s">
        <v>399</v>
      </c>
      <c r="I46" s="15" t="s">
        <v>381</v>
      </c>
      <c r="J46" s="18" t="s">
        <v>134</v>
      </c>
      <c r="K46" s="15">
        <v>8</v>
      </c>
      <c r="L46" s="19" t="s">
        <v>28</v>
      </c>
      <c r="M46" s="13" t="s">
        <v>400</v>
      </c>
    </row>
    <row r="47" ht="62" customHeight="1" spans="1:13" x14ac:dyDescent="0.25">
      <c r="A47" s="12" t="s">
        <v>401</v>
      </c>
      <c r="B47" s="13" t="s">
        <v>402</v>
      </c>
      <c r="C47" s="13" t="s">
        <v>108</v>
      </c>
      <c r="D47" s="14" t="s">
        <v>403</v>
      </c>
      <c r="E47" s="13" t="s">
        <v>404</v>
      </c>
      <c r="F47" s="13" t="s">
        <v>405</v>
      </c>
      <c r="G47" s="13" t="s">
        <v>406</v>
      </c>
      <c r="H47" s="15" t="s">
        <v>113</v>
      </c>
      <c r="I47" s="15" t="s">
        <v>107</v>
      </c>
      <c r="J47" s="16" t="s">
        <v>90</v>
      </c>
      <c r="K47" s="15">
        <v>16</v>
      </c>
      <c r="L47" s="22" t="s">
        <v>26</v>
      </c>
      <c r="M47" s="13" t="s">
        <v>407</v>
      </c>
    </row>
    <row r="48" ht="62" customHeight="1" spans="1:13" x14ac:dyDescent="0.25">
      <c r="A48" s="12" t="s">
        <v>408</v>
      </c>
      <c r="B48" s="13" t="s">
        <v>402</v>
      </c>
      <c r="C48" s="13" t="s">
        <v>409</v>
      </c>
      <c r="D48" s="14" t="s">
        <v>410</v>
      </c>
      <c r="E48" s="13" t="s">
        <v>411</v>
      </c>
      <c r="F48" s="13" t="s">
        <v>412</v>
      </c>
      <c r="G48" s="13" t="s">
        <v>413</v>
      </c>
      <c r="H48" s="15" t="s">
        <v>113</v>
      </c>
      <c r="I48" s="15" t="s">
        <v>401</v>
      </c>
      <c r="J48" s="16" t="s">
        <v>90</v>
      </c>
      <c r="K48" s="15">
        <v>28</v>
      </c>
      <c r="L48" s="22" t="s">
        <v>26</v>
      </c>
      <c r="M48" s="13" t="s">
        <v>89</v>
      </c>
    </row>
    <row r="49" ht="62" customHeight="1" spans="1:13" x14ac:dyDescent="0.25">
      <c r="A49" s="12" t="s">
        <v>414</v>
      </c>
      <c r="B49" s="13" t="s">
        <v>402</v>
      </c>
      <c r="C49" s="13" t="s">
        <v>236</v>
      </c>
      <c r="D49" s="14" t="s">
        <v>415</v>
      </c>
      <c r="E49" s="13" t="s">
        <v>416</v>
      </c>
      <c r="F49" s="13" t="s">
        <v>417</v>
      </c>
      <c r="G49" s="13" t="s">
        <v>418</v>
      </c>
      <c r="H49" s="15" t="s">
        <v>148</v>
      </c>
      <c r="I49" s="15" t="s">
        <v>408</v>
      </c>
      <c r="J49" s="16" t="s">
        <v>90</v>
      </c>
      <c r="K49" s="15">
        <v>24</v>
      </c>
      <c r="L49" s="22" t="s">
        <v>26</v>
      </c>
      <c r="M49" s="13" t="s">
        <v>89</v>
      </c>
    </row>
    <row r="50" ht="62" customHeight="1" spans="1:13" x14ac:dyDescent="0.25">
      <c r="A50" s="12" t="s">
        <v>419</v>
      </c>
      <c r="B50" s="13" t="s">
        <v>402</v>
      </c>
      <c r="C50" s="13" t="s">
        <v>420</v>
      </c>
      <c r="D50" s="14" t="s">
        <v>421</v>
      </c>
      <c r="E50" s="13" t="s">
        <v>422</v>
      </c>
      <c r="F50" s="13" t="s">
        <v>423</v>
      </c>
      <c r="G50" s="13" t="s">
        <v>424</v>
      </c>
      <c r="H50" s="15" t="s">
        <v>113</v>
      </c>
      <c r="I50" s="15" t="s">
        <v>425</v>
      </c>
      <c r="J50" s="18" t="s">
        <v>134</v>
      </c>
      <c r="K50" s="15">
        <v>14</v>
      </c>
      <c r="L50" s="22" t="s">
        <v>26</v>
      </c>
      <c r="M50" s="13" t="s">
        <v>89</v>
      </c>
    </row>
    <row r="51" ht="62" customHeight="1" spans="1:13" x14ac:dyDescent="0.25">
      <c r="A51" s="12" t="s">
        <v>426</v>
      </c>
      <c r="B51" s="13" t="s">
        <v>402</v>
      </c>
      <c r="C51" s="13" t="s">
        <v>427</v>
      </c>
      <c r="D51" s="14" t="s">
        <v>428</v>
      </c>
      <c r="E51" s="13" t="s">
        <v>429</v>
      </c>
      <c r="F51" s="13" t="s">
        <v>430</v>
      </c>
      <c r="G51" s="13" t="s">
        <v>431</v>
      </c>
      <c r="H51" s="15" t="s">
        <v>432</v>
      </c>
      <c r="I51" s="15" t="s">
        <v>414</v>
      </c>
      <c r="J51" s="16" t="s">
        <v>90</v>
      </c>
      <c r="K51" s="15">
        <v>18</v>
      </c>
      <c r="L51" s="22" t="s">
        <v>26</v>
      </c>
      <c r="M51" s="13" t="s">
        <v>89</v>
      </c>
    </row>
    <row r="52" ht="62" customHeight="1" spans="1:13" x14ac:dyDescent="0.25">
      <c r="A52" s="12" t="s">
        <v>433</v>
      </c>
      <c r="B52" s="13" t="s">
        <v>402</v>
      </c>
      <c r="C52" s="13" t="s">
        <v>434</v>
      </c>
      <c r="D52" s="14" t="s">
        <v>435</v>
      </c>
      <c r="E52" s="13" t="s">
        <v>436</v>
      </c>
      <c r="F52" s="13" t="s">
        <v>437</v>
      </c>
      <c r="G52" s="13" t="s">
        <v>438</v>
      </c>
      <c r="H52" s="15" t="s">
        <v>439</v>
      </c>
      <c r="I52" s="15" t="s">
        <v>426</v>
      </c>
      <c r="J52" s="16" t="s">
        <v>90</v>
      </c>
      <c r="K52" s="15">
        <v>10</v>
      </c>
      <c r="L52" s="19" t="s">
        <v>28</v>
      </c>
      <c r="M52" s="13" t="s">
        <v>440</v>
      </c>
    </row>
    <row r="53" ht="62" customHeight="1" spans="1:13" x14ac:dyDescent="0.25">
      <c r="A53" s="12" t="s">
        <v>441</v>
      </c>
      <c r="B53" s="13" t="s">
        <v>442</v>
      </c>
      <c r="C53" s="13" t="s">
        <v>443</v>
      </c>
      <c r="D53" s="14" t="s">
        <v>444</v>
      </c>
      <c r="E53" s="13" t="s">
        <v>445</v>
      </c>
      <c r="F53" s="13" t="s">
        <v>446</v>
      </c>
      <c r="G53" s="13" t="s">
        <v>447</v>
      </c>
      <c r="H53" s="15" t="s">
        <v>448</v>
      </c>
      <c r="I53" s="15" t="s">
        <v>89</v>
      </c>
      <c r="J53" s="16" t="s">
        <v>90</v>
      </c>
      <c r="K53" s="15">
        <v>24</v>
      </c>
      <c r="L53" s="22" t="s">
        <v>26</v>
      </c>
      <c r="M53" s="13" t="s">
        <v>89</v>
      </c>
    </row>
    <row r="54" ht="62" customHeight="1" spans="1:13" x14ac:dyDescent="0.25">
      <c r="A54" s="12" t="s">
        <v>449</v>
      </c>
      <c r="B54" s="13" t="s">
        <v>442</v>
      </c>
      <c r="C54" s="13" t="s">
        <v>443</v>
      </c>
      <c r="D54" s="14" t="s">
        <v>450</v>
      </c>
      <c r="E54" s="13" t="s">
        <v>451</v>
      </c>
      <c r="F54" s="13" t="s">
        <v>452</v>
      </c>
      <c r="G54" s="13" t="s">
        <v>453</v>
      </c>
      <c r="H54" s="15" t="s">
        <v>454</v>
      </c>
      <c r="I54" s="15" t="s">
        <v>89</v>
      </c>
      <c r="J54" s="18" t="s">
        <v>134</v>
      </c>
      <c r="K54" s="15">
        <v>16</v>
      </c>
      <c r="L54" s="22" t="s">
        <v>26</v>
      </c>
      <c r="M54" s="13" t="s">
        <v>455</v>
      </c>
    </row>
    <row r="55" ht="62" customHeight="1" spans="1:13" x14ac:dyDescent="0.25">
      <c r="A55" s="12" t="s">
        <v>456</v>
      </c>
      <c r="B55" s="13" t="s">
        <v>442</v>
      </c>
      <c r="C55" s="13" t="s">
        <v>457</v>
      </c>
      <c r="D55" s="14" t="s">
        <v>458</v>
      </c>
      <c r="E55" s="13" t="s">
        <v>459</v>
      </c>
      <c r="F55" s="13" t="s">
        <v>460</v>
      </c>
      <c r="G55" s="13" t="s">
        <v>461</v>
      </c>
      <c r="H55" s="15" t="s">
        <v>462</v>
      </c>
      <c r="I55" s="15" t="s">
        <v>441</v>
      </c>
      <c r="J55" s="16" t="s">
        <v>90</v>
      </c>
      <c r="K55" s="15">
        <v>30</v>
      </c>
      <c r="L55" s="22" t="s">
        <v>26</v>
      </c>
      <c r="M55" s="13" t="s">
        <v>463</v>
      </c>
    </row>
    <row r="56" ht="62" customHeight="1" spans="1:13" x14ac:dyDescent="0.25">
      <c r="A56" s="12" t="s">
        <v>464</v>
      </c>
      <c r="B56" s="13" t="s">
        <v>442</v>
      </c>
      <c r="C56" s="13" t="s">
        <v>465</v>
      </c>
      <c r="D56" s="14" t="s">
        <v>466</v>
      </c>
      <c r="E56" s="13" t="s">
        <v>467</v>
      </c>
      <c r="F56" s="13" t="s">
        <v>468</v>
      </c>
      <c r="G56" s="13" t="s">
        <v>469</v>
      </c>
      <c r="H56" s="15" t="s">
        <v>448</v>
      </c>
      <c r="I56" s="15" t="s">
        <v>441</v>
      </c>
      <c r="J56" s="18" t="s">
        <v>134</v>
      </c>
      <c r="K56" s="15">
        <v>20</v>
      </c>
      <c r="L56" s="19" t="s">
        <v>28</v>
      </c>
      <c r="M56" s="13" t="s">
        <v>89</v>
      </c>
    </row>
    <row r="57" ht="62" customHeight="1" spans="1:13" x14ac:dyDescent="0.25">
      <c r="A57" s="12" t="s">
        <v>470</v>
      </c>
      <c r="B57" s="13" t="s">
        <v>442</v>
      </c>
      <c r="C57" s="13" t="s">
        <v>471</v>
      </c>
      <c r="D57" s="14" t="s">
        <v>472</v>
      </c>
      <c r="E57" s="13" t="s">
        <v>473</v>
      </c>
      <c r="F57" s="13" t="s">
        <v>474</v>
      </c>
      <c r="G57" s="13" t="s">
        <v>475</v>
      </c>
      <c r="H57" s="15" t="s">
        <v>476</v>
      </c>
      <c r="I57" s="15" t="s">
        <v>477</v>
      </c>
      <c r="J57" s="18" t="s">
        <v>134</v>
      </c>
      <c r="K57" s="15">
        <v>10</v>
      </c>
      <c r="L57" s="19" t="s">
        <v>28</v>
      </c>
      <c r="M57" s="13" t="s">
        <v>89</v>
      </c>
    </row>
    <row r="58" ht="62" customHeight="1" spans="1:13" x14ac:dyDescent="0.25">
      <c r="A58" s="12" t="s">
        <v>478</v>
      </c>
      <c r="B58" s="13" t="s">
        <v>442</v>
      </c>
      <c r="C58" s="13" t="s">
        <v>479</v>
      </c>
      <c r="D58" s="14" t="s">
        <v>480</v>
      </c>
      <c r="E58" s="13" t="s">
        <v>481</v>
      </c>
      <c r="F58" s="13" t="s">
        <v>482</v>
      </c>
      <c r="G58" s="13" t="s">
        <v>483</v>
      </c>
      <c r="H58" s="15" t="s">
        <v>105</v>
      </c>
      <c r="I58" s="15" t="s">
        <v>456</v>
      </c>
      <c r="J58" s="18" t="s">
        <v>134</v>
      </c>
      <c r="K58" s="15">
        <v>14</v>
      </c>
      <c r="L58" s="19" t="s">
        <v>28</v>
      </c>
      <c r="M58" s="13" t="s">
        <v>89</v>
      </c>
    </row>
    <row r="59" ht="62" customHeight="1" spans="1:13" x14ac:dyDescent="0.25">
      <c r="A59" s="12" t="s">
        <v>484</v>
      </c>
      <c r="B59" s="13" t="s">
        <v>442</v>
      </c>
      <c r="C59" s="13" t="s">
        <v>165</v>
      </c>
      <c r="D59" s="14" t="s">
        <v>485</v>
      </c>
      <c r="E59" s="13" t="s">
        <v>486</v>
      </c>
      <c r="F59" s="13" t="s">
        <v>487</v>
      </c>
      <c r="G59" s="13" t="s">
        <v>488</v>
      </c>
      <c r="H59" s="15" t="s">
        <v>211</v>
      </c>
      <c r="I59" s="15" t="s">
        <v>285</v>
      </c>
      <c r="J59" s="16" t="s">
        <v>90</v>
      </c>
      <c r="K59" s="15">
        <v>8</v>
      </c>
      <c r="L59" s="19" t="s">
        <v>28</v>
      </c>
      <c r="M59" s="13" t="s">
        <v>489</v>
      </c>
    </row>
    <row r="60" ht="62" customHeight="1" spans="1:13" x14ac:dyDescent="0.25">
      <c r="A60" s="12" t="s">
        <v>490</v>
      </c>
      <c r="B60" s="13" t="s">
        <v>442</v>
      </c>
      <c r="C60" s="13" t="s">
        <v>491</v>
      </c>
      <c r="D60" s="14" t="s">
        <v>492</v>
      </c>
      <c r="E60" s="13" t="s">
        <v>493</v>
      </c>
      <c r="F60" s="13" t="s">
        <v>494</v>
      </c>
      <c r="G60" s="13" t="s">
        <v>495</v>
      </c>
      <c r="H60" s="15" t="s">
        <v>324</v>
      </c>
      <c r="I60" s="15" t="s">
        <v>433</v>
      </c>
      <c r="J60" s="16" t="s">
        <v>90</v>
      </c>
      <c r="K60" s="15">
        <v>24</v>
      </c>
      <c r="L60" s="19" t="s">
        <v>28</v>
      </c>
      <c r="M60" s="13" t="s">
        <v>496</v>
      </c>
    </row>
    <row r="61" ht="62" customHeight="1" spans="1:13" x14ac:dyDescent="0.25">
      <c r="A61" s="12" t="s">
        <v>497</v>
      </c>
      <c r="B61" s="13" t="s">
        <v>498</v>
      </c>
      <c r="C61" s="13" t="s">
        <v>108</v>
      </c>
      <c r="D61" s="14" t="s">
        <v>499</v>
      </c>
      <c r="E61" s="13" t="s">
        <v>500</v>
      </c>
      <c r="F61" s="13" t="s">
        <v>501</v>
      </c>
      <c r="G61" s="13" t="s">
        <v>502</v>
      </c>
      <c r="H61" s="15" t="s">
        <v>113</v>
      </c>
      <c r="I61" s="15" t="s">
        <v>89</v>
      </c>
      <c r="J61" s="18" t="s">
        <v>134</v>
      </c>
      <c r="K61" s="15">
        <v>16</v>
      </c>
      <c r="L61" s="19" t="s">
        <v>28</v>
      </c>
      <c r="M61" s="13" t="s">
        <v>89</v>
      </c>
    </row>
    <row r="62" ht="62" customHeight="1" spans="1:13" x14ac:dyDescent="0.25">
      <c r="A62" s="12" t="s">
        <v>503</v>
      </c>
      <c r="B62" s="13" t="s">
        <v>498</v>
      </c>
      <c r="C62" s="13" t="s">
        <v>409</v>
      </c>
      <c r="D62" s="14" t="s">
        <v>504</v>
      </c>
      <c r="E62" s="13" t="s">
        <v>505</v>
      </c>
      <c r="F62" s="13" t="s">
        <v>506</v>
      </c>
      <c r="G62" s="13" t="s">
        <v>507</v>
      </c>
      <c r="H62" s="15" t="s">
        <v>113</v>
      </c>
      <c r="I62" s="15" t="s">
        <v>497</v>
      </c>
      <c r="J62" s="18" t="s">
        <v>134</v>
      </c>
      <c r="K62" s="15">
        <v>14</v>
      </c>
      <c r="L62" s="19" t="s">
        <v>28</v>
      </c>
      <c r="M62" s="13" t="s">
        <v>89</v>
      </c>
    </row>
    <row r="63" ht="62" customHeight="1" spans="1:13" x14ac:dyDescent="0.25">
      <c r="A63" s="12" t="s">
        <v>508</v>
      </c>
      <c r="B63" s="13" t="s">
        <v>498</v>
      </c>
      <c r="C63" s="13" t="s">
        <v>509</v>
      </c>
      <c r="D63" s="14" t="s">
        <v>510</v>
      </c>
      <c r="E63" s="13" t="s">
        <v>511</v>
      </c>
      <c r="F63" s="13" t="s">
        <v>512</v>
      </c>
      <c r="G63" s="13" t="s">
        <v>513</v>
      </c>
      <c r="H63" s="15" t="s">
        <v>148</v>
      </c>
      <c r="I63" s="15" t="s">
        <v>89</v>
      </c>
      <c r="J63" s="18" t="s">
        <v>134</v>
      </c>
      <c r="K63" s="15">
        <v>12</v>
      </c>
      <c r="L63" s="22" t="s">
        <v>26</v>
      </c>
      <c r="M63" s="13" t="s">
        <v>514</v>
      </c>
    </row>
    <row r="64" ht="62" customHeight="1" spans="1:13" x14ac:dyDescent="0.25">
      <c r="A64" s="12" t="s">
        <v>515</v>
      </c>
      <c r="B64" s="13" t="s">
        <v>498</v>
      </c>
      <c r="C64" s="13" t="s">
        <v>516</v>
      </c>
      <c r="D64" s="14" t="s">
        <v>517</v>
      </c>
      <c r="E64" s="13" t="s">
        <v>518</v>
      </c>
      <c r="F64" s="13" t="s">
        <v>519</v>
      </c>
      <c r="G64" s="13" t="s">
        <v>520</v>
      </c>
      <c r="H64" s="15" t="s">
        <v>113</v>
      </c>
      <c r="I64" s="15" t="s">
        <v>285</v>
      </c>
      <c r="J64" s="18" t="s">
        <v>134</v>
      </c>
      <c r="K64" s="15">
        <v>12</v>
      </c>
      <c r="L64" s="19" t="s">
        <v>28</v>
      </c>
      <c r="M64" s="13" t="s">
        <v>521</v>
      </c>
    </row>
    <row r="65" ht="62" customHeight="1" spans="1:13" x14ac:dyDescent="0.25">
      <c r="A65" s="12" t="s">
        <v>522</v>
      </c>
      <c r="B65" s="13" t="s">
        <v>498</v>
      </c>
      <c r="C65" s="13" t="s">
        <v>409</v>
      </c>
      <c r="D65" s="14" t="s">
        <v>523</v>
      </c>
      <c r="E65" s="13" t="s">
        <v>524</v>
      </c>
      <c r="F65" s="13" t="s">
        <v>525</v>
      </c>
      <c r="G65" s="13" t="s">
        <v>526</v>
      </c>
      <c r="H65" s="15" t="s">
        <v>113</v>
      </c>
      <c r="I65" s="15" t="s">
        <v>503</v>
      </c>
      <c r="J65" s="20" t="s">
        <v>247</v>
      </c>
      <c r="K65" s="15">
        <v>12</v>
      </c>
      <c r="L65" s="19" t="s">
        <v>28</v>
      </c>
      <c r="M65" s="13" t="s">
        <v>89</v>
      </c>
    </row>
    <row r="66" ht="62" customHeight="1" spans="1:13" x14ac:dyDescent="0.25">
      <c r="A66" s="12" t="s">
        <v>527</v>
      </c>
      <c r="B66" s="13" t="s">
        <v>528</v>
      </c>
      <c r="C66" s="13" t="s">
        <v>529</v>
      </c>
      <c r="D66" s="14" t="s">
        <v>530</v>
      </c>
      <c r="E66" s="13" t="s">
        <v>531</v>
      </c>
      <c r="F66" s="13" t="s">
        <v>532</v>
      </c>
      <c r="G66" s="13" t="s">
        <v>533</v>
      </c>
      <c r="H66" s="15" t="s">
        <v>105</v>
      </c>
      <c r="I66" s="15" t="s">
        <v>99</v>
      </c>
      <c r="J66" s="16" t="s">
        <v>90</v>
      </c>
      <c r="K66" s="15">
        <v>16</v>
      </c>
      <c r="L66" s="22" t="s">
        <v>26</v>
      </c>
      <c r="M66" s="13" t="s">
        <v>534</v>
      </c>
    </row>
    <row r="67" ht="62" customHeight="1" spans="1:13" x14ac:dyDescent="0.25">
      <c r="A67" s="12" t="s">
        <v>535</v>
      </c>
      <c r="B67" s="13" t="s">
        <v>528</v>
      </c>
      <c r="C67" s="13" t="s">
        <v>536</v>
      </c>
      <c r="D67" s="14" t="s">
        <v>537</v>
      </c>
      <c r="E67" s="13" t="s">
        <v>538</v>
      </c>
      <c r="F67" s="13" t="s">
        <v>539</v>
      </c>
      <c r="G67" s="13" t="s">
        <v>540</v>
      </c>
      <c r="H67" s="15" t="s">
        <v>105</v>
      </c>
      <c r="I67" s="15" t="s">
        <v>527</v>
      </c>
      <c r="J67" s="16" t="s">
        <v>90</v>
      </c>
      <c r="K67" s="15">
        <v>10</v>
      </c>
      <c r="L67" s="19" t="s">
        <v>28</v>
      </c>
      <c r="M67" s="13" t="s">
        <v>89</v>
      </c>
    </row>
    <row r="68" ht="62" customHeight="1" spans="1:13" x14ac:dyDescent="0.25">
      <c r="A68" s="12" t="s">
        <v>541</v>
      </c>
      <c r="B68" s="13" t="s">
        <v>528</v>
      </c>
      <c r="C68" s="13" t="s">
        <v>108</v>
      </c>
      <c r="D68" s="14" t="s">
        <v>542</v>
      </c>
      <c r="E68" s="13" t="s">
        <v>543</v>
      </c>
      <c r="F68" s="13" t="s">
        <v>544</v>
      </c>
      <c r="G68" s="13" t="s">
        <v>545</v>
      </c>
      <c r="H68" s="15" t="s">
        <v>546</v>
      </c>
      <c r="I68" s="15" t="s">
        <v>535</v>
      </c>
      <c r="J68" s="16" t="s">
        <v>90</v>
      </c>
      <c r="K68" s="15">
        <v>12</v>
      </c>
      <c r="L68" s="19" t="s">
        <v>28</v>
      </c>
      <c r="M68" s="13" t="s">
        <v>89</v>
      </c>
    </row>
    <row r="69" ht="62" customHeight="1" spans="1:13" x14ac:dyDescent="0.25">
      <c r="A69" s="12" t="s">
        <v>547</v>
      </c>
      <c r="B69" s="13" t="s">
        <v>528</v>
      </c>
      <c r="C69" s="13" t="s">
        <v>548</v>
      </c>
      <c r="D69" s="14" t="s">
        <v>549</v>
      </c>
      <c r="E69" s="13" t="s">
        <v>550</v>
      </c>
      <c r="F69" s="13" t="s">
        <v>551</v>
      </c>
      <c r="G69" s="13" t="s">
        <v>552</v>
      </c>
      <c r="H69" s="15" t="s">
        <v>105</v>
      </c>
      <c r="I69" s="15" t="s">
        <v>541</v>
      </c>
      <c r="J69" s="16" t="s">
        <v>90</v>
      </c>
      <c r="K69" s="15">
        <v>14</v>
      </c>
      <c r="L69" s="19" t="s">
        <v>28</v>
      </c>
      <c r="M69" s="13" t="s">
        <v>553</v>
      </c>
    </row>
    <row r="70" ht="62" customHeight="1" spans="1:13" x14ac:dyDescent="0.25">
      <c r="A70" s="12" t="s">
        <v>554</v>
      </c>
      <c r="B70" s="13" t="s">
        <v>528</v>
      </c>
      <c r="C70" s="13" t="s">
        <v>555</v>
      </c>
      <c r="D70" s="14" t="s">
        <v>556</v>
      </c>
      <c r="E70" s="13" t="s">
        <v>557</v>
      </c>
      <c r="F70" s="13" t="s">
        <v>558</v>
      </c>
      <c r="G70" s="13" t="s">
        <v>559</v>
      </c>
      <c r="H70" s="15" t="s">
        <v>105</v>
      </c>
      <c r="I70" s="15" t="s">
        <v>527</v>
      </c>
      <c r="J70" s="18" t="s">
        <v>134</v>
      </c>
      <c r="K70" s="15">
        <v>16</v>
      </c>
      <c r="L70" s="19" t="s">
        <v>28</v>
      </c>
      <c r="M70" s="13" t="s">
        <v>560</v>
      </c>
    </row>
    <row r="71" ht="62" customHeight="1" spans="1:13" x14ac:dyDescent="0.25">
      <c r="A71" s="12" t="s">
        <v>561</v>
      </c>
      <c r="B71" s="13" t="s">
        <v>528</v>
      </c>
      <c r="C71" s="13" t="s">
        <v>555</v>
      </c>
      <c r="D71" s="14" t="s">
        <v>562</v>
      </c>
      <c r="E71" s="13" t="s">
        <v>563</v>
      </c>
      <c r="F71" s="13" t="s">
        <v>564</v>
      </c>
      <c r="G71" s="13" t="s">
        <v>565</v>
      </c>
      <c r="H71" s="15" t="s">
        <v>105</v>
      </c>
      <c r="I71" s="15" t="s">
        <v>305</v>
      </c>
      <c r="J71" s="18" t="s">
        <v>134</v>
      </c>
      <c r="K71" s="15">
        <v>10</v>
      </c>
      <c r="L71" s="19" t="s">
        <v>28</v>
      </c>
      <c r="M71" s="13" t="s">
        <v>89</v>
      </c>
    </row>
    <row r="72" ht="62" customHeight="1" spans="1:13" x14ac:dyDescent="0.25">
      <c r="A72" s="12" t="s">
        <v>566</v>
      </c>
      <c r="B72" s="13" t="s">
        <v>528</v>
      </c>
      <c r="C72" s="13" t="s">
        <v>567</v>
      </c>
      <c r="D72" s="14" t="s">
        <v>568</v>
      </c>
      <c r="E72" s="13" t="s">
        <v>569</v>
      </c>
      <c r="F72" s="13" t="s">
        <v>570</v>
      </c>
      <c r="G72" s="13" t="s">
        <v>571</v>
      </c>
      <c r="H72" s="15" t="s">
        <v>572</v>
      </c>
      <c r="I72" s="15" t="s">
        <v>573</v>
      </c>
      <c r="J72" s="16" t="s">
        <v>90</v>
      </c>
      <c r="K72" s="15">
        <v>10</v>
      </c>
      <c r="L72" s="19" t="s">
        <v>28</v>
      </c>
      <c r="M72" s="13" t="s">
        <v>89</v>
      </c>
    </row>
    <row r="73" ht="62" customHeight="1" spans="1:13" x14ac:dyDescent="0.25">
      <c r="A73" s="12" t="s">
        <v>574</v>
      </c>
      <c r="B73" s="13" t="s">
        <v>575</v>
      </c>
      <c r="C73" s="13" t="s">
        <v>576</v>
      </c>
      <c r="D73" s="14" t="s">
        <v>577</v>
      </c>
      <c r="E73" s="13" t="s">
        <v>578</v>
      </c>
      <c r="F73" s="13" t="s">
        <v>579</v>
      </c>
      <c r="G73" s="13" t="s">
        <v>580</v>
      </c>
      <c r="H73" s="15" t="s">
        <v>439</v>
      </c>
      <c r="I73" s="15" t="s">
        <v>89</v>
      </c>
      <c r="J73" s="18" t="s">
        <v>134</v>
      </c>
      <c r="K73" s="15">
        <v>8</v>
      </c>
      <c r="L73" s="22" t="s">
        <v>26</v>
      </c>
      <c r="M73" s="13" t="s">
        <v>581</v>
      </c>
    </row>
    <row r="74" ht="62" customHeight="1" spans="1:13" x14ac:dyDescent="0.25">
      <c r="A74" s="12" t="s">
        <v>582</v>
      </c>
      <c r="B74" s="13" t="s">
        <v>575</v>
      </c>
      <c r="C74" s="13" t="s">
        <v>583</v>
      </c>
      <c r="D74" s="14" t="s">
        <v>584</v>
      </c>
      <c r="E74" s="13" t="s">
        <v>585</v>
      </c>
      <c r="F74" s="13" t="s">
        <v>586</v>
      </c>
      <c r="G74" s="13" t="s">
        <v>587</v>
      </c>
      <c r="H74" s="15" t="s">
        <v>105</v>
      </c>
      <c r="I74" s="15" t="s">
        <v>554</v>
      </c>
      <c r="J74" s="18" t="s">
        <v>134</v>
      </c>
      <c r="K74" s="15">
        <v>14</v>
      </c>
      <c r="L74" s="19" t="s">
        <v>28</v>
      </c>
      <c r="M74" s="13" t="s">
        <v>89</v>
      </c>
    </row>
    <row r="75" ht="62" customHeight="1" spans="1:13" x14ac:dyDescent="0.25">
      <c r="A75" s="12" t="s">
        <v>588</v>
      </c>
      <c r="B75" s="13" t="s">
        <v>575</v>
      </c>
      <c r="C75" s="13" t="s">
        <v>229</v>
      </c>
      <c r="D75" s="14" t="s">
        <v>589</v>
      </c>
      <c r="E75" s="13" t="s">
        <v>590</v>
      </c>
      <c r="F75" s="13" t="s">
        <v>591</v>
      </c>
      <c r="G75" s="13" t="s">
        <v>592</v>
      </c>
      <c r="H75" s="15" t="s">
        <v>399</v>
      </c>
      <c r="I75" s="15" t="s">
        <v>490</v>
      </c>
      <c r="J75" s="18" t="s">
        <v>134</v>
      </c>
      <c r="K75" s="15">
        <v>20</v>
      </c>
      <c r="L75" s="19" t="s">
        <v>28</v>
      </c>
      <c r="M75" s="13" t="s">
        <v>89</v>
      </c>
    </row>
    <row r="76" ht="62" customHeight="1" spans="1:13" x14ac:dyDescent="0.25">
      <c r="A76" s="12" t="s">
        <v>593</v>
      </c>
      <c r="B76" s="13" t="s">
        <v>575</v>
      </c>
      <c r="C76" s="13" t="s">
        <v>165</v>
      </c>
      <c r="D76" s="14" t="s">
        <v>594</v>
      </c>
      <c r="E76" s="13" t="s">
        <v>595</v>
      </c>
      <c r="F76" s="13" t="s">
        <v>596</v>
      </c>
      <c r="G76" s="13" t="s">
        <v>597</v>
      </c>
      <c r="H76" s="15" t="s">
        <v>598</v>
      </c>
      <c r="I76" s="15" t="s">
        <v>599</v>
      </c>
      <c r="J76" s="16" t="s">
        <v>90</v>
      </c>
      <c r="K76" s="15">
        <v>12</v>
      </c>
      <c r="L76" s="19" t="s">
        <v>28</v>
      </c>
      <c r="M76" s="13" t="s">
        <v>600</v>
      </c>
    </row>
    <row r="77" ht="62" customHeight="1" spans="1:13" x14ac:dyDescent="0.25">
      <c r="A77" s="12" t="s">
        <v>601</v>
      </c>
      <c r="B77" s="13" t="s">
        <v>575</v>
      </c>
      <c r="C77" s="13" t="s">
        <v>602</v>
      </c>
      <c r="D77" s="14" t="s">
        <v>603</v>
      </c>
      <c r="E77" s="13" t="s">
        <v>604</v>
      </c>
      <c r="F77" s="13" t="s">
        <v>605</v>
      </c>
      <c r="G77" s="13" t="s">
        <v>606</v>
      </c>
      <c r="H77" s="15" t="s">
        <v>607</v>
      </c>
      <c r="I77" s="15" t="s">
        <v>608</v>
      </c>
      <c r="J77" s="16" t="s">
        <v>90</v>
      </c>
      <c r="K77" s="15">
        <v>16</v>
      </c>
      <c r="L77" s="19" t="s">
        <v>28</v>
      </c>
      <c r="M77" s="13" t="s">
        <v>89</v>
      </c>
    </row>
    <row r="78" ht="62" customHeight="1" spans="1:13" x14ac:dyDescent="0.25">
      <c r="A78" s="12" t="s">
        <v>609</v>
      </c>
      <c r="B78" s="13" t="s">
        <v>610</v>
      </c>
      <c r="C78" s="13" t="s">
        <v>611</v>
      </c>
      <c r="D78" s="14" t="s">
        <v>612</v>
      </c>
      <c r="E78" s="13" t="s">
        <v>613</v>
      </c>
      <c r="F78" s="13" t="s">
        <v>614</v>
      </c>
      <c r="G78" s="13" t="s">
        <v>615</v>
      </c>
      <c r="H78" s="15" t="s">
        <v>163</v>
      </c>
      <c r="I78" s="15" t="s">
        <v>522</v>
      </c>
      <c r="J78" s="20" t="s">
        <v>247</v>
      </c>
      <c r="K78" s="15">
        <v>28</v>
      </c>
      <c r="L78" s="19" t="s">
        <v>28</v>
      </c>
      <c r="M78" s="13" t="s">
        <v>89</v>
      </c>
    </row>
    <row r="79" ht="62" customHeight="1" spans="1:13" x14ac:dyDescent="0.25">
      <c r="A79" s="12" t="s">
        <v>616</v>
      </c>
      <c r="B79" s="13" t="s">
        <v>610</v>
      </c>
      <c r="C79" s="13" t="s">
        <v>611</v>
      </c>
      <c r="D79" s="14" t="s">
        <v>617</v>
      </c>
      <c r="E79" s="13" t="s">
        <v>618</v>
      </c>
      <c r="F79" s="13" t="s">
        <v>619</v>
      </c>
      <c r="G79" s="13" t="s">
        <v>620</v>
      </c>
      <c r="H79" s="15" t="s">
        <v>113</v>
      </c>
      <c r="I79" s="15" t="s">
        <v>609</v>
      </c>
      <c r="J79" s="19" t="s">
        <v>621</v>
      </c>
      <c r="K79" s="15">
        <v>16</v>
      </c>
      <c r="L79" s="19" t="s">
        <v>28</v>
      </c>
      <c r="M79" s="13" t="s">
        <v>89</v>
      </c>
    </row>
    <row r="80" ht="62" customHeight="1" spans="1:13" x14ac:dyDescent="0.25">
      <c r="A80" s="12" t="s">
        <v>622</v>
      </c>
      <c r="B80" s="13" t="s">
        <v>610</v>
      </c>
      <c r="C80" s="13" t="s">
        <v>236</v>
      </c>
      <c r="D80" s="14" t="s">
        <v>623</v>
      </c>
      <c r="E80" s="13" t="s">
        <v>624</v>
      </c>
      <c r="F80" s="13" t="s">
        <v>625</v>
      </c>
      <c r="G80" s="13" t="s">
        <v>626</v>
      </c>
      <c r="H80" s="15" t="s">
        <v>163</v>
      </c>
      <c r="I80" s="15" t="s">
        <v>609</v>
      </c>
      <c r="J80" s="20" t="s">
        <v>247</v>
      </c>
      <c r="K80" s="15">
        <v>20</v>
      </c>
      <c r="L80" s="19" t="s">
        <v>28</v>
      </c>
      <c r="M80" s="13" t="s">
        <v>89</v>
      </c>
    </row>
    <row r="81" ht="62" customHeight="1" spans="1:13" x14ac:dyDescent="0.25">
      <c r="A81" s="12" t="s">
        <v>627</v>
      </c>
      <c r="B81" s="13" t="s">
        <v>610</v>
      </c>
      <c r="C81" s="13" t="s">
        <v>236</v>
      </c>
      <c r="D81" s="14" t="s">
        <v>628</v>
      </c>
      <c r="E81" s="13" t="s">
        <v>629</v>
      </c>
      <c r="F81" s="13" t="s">
        <v>630</v>
      </c>
      <c r="G81" s="13" t="s">
        <v>631</v>
      </c>
      <c r="H81" s="15" t="s">
        <v>148</v>
      </c>
      <c r="I81" s="15" t="s">
        <v>456</v>
      </c>
      <c r="J81" s="20" t="s">
        <v>247</v>
      </c>
      <c r="K81" s="15">
        <v>16</v>
      </c>
      <c r="L81" s="19" t="s">
        <v>28</v>
      </c>
      <c r="M81" s="13" t="s">
        <v>632</v>
      </c>
    </row>
    <row r="82" ht="62" customHeight="1" spans="1:13" x14ac:dyDescent="0.25">
      <c r="A82" s="12" t="s">
        <v>633</v>
      </c>
      <c r="B82" s="13" t="s">
        <v>610</v>
      </c>
      <c r="C82" s="13" t="s">
        <v>634</v>
      </c>
      <c r="D82" s="14" t="s">
        <v>635</v>
      </c>
      <c r="E82" s="13" t="s">
        <v>636</v>
      </c>
      <c r="F82" s="13" t="s">
        <v>637</v>
      </c>
      <c r="G82" s="13" t="s">
        <v>638</v>
      </c>
      <c r="H82" s="15" t="s">
        <v>163</v>
      </c>
      <c r="I82" s="15" t="s">
        <v>497</v>
      </c>
      <c r="J82" s="20" t="s">
        <v>247</v>
      </c>
      <c r="K82" s="15">
        <v>18</v>
      </c>
      <c r="L82" s="19" t="s">
        <v>28</v>
      </c>
      <c r="M82" s="13" t="s">
        <v>89</v>
      </c>
    </row>
    <row r="83" ht="62" customHeight="1" spans="1:13" x14ac:dyDescent="0.25">
      <c r="A83" s="12" t="s">
        <v>639</v>
      </c>
      <c r="B83" s="13" t="s">
        <v>610</v>
      </c>
      <c r="C83" s="13" t="s">
        <v>640</v>
      </c>
      <c r="D83" s="14" t="s">
        <v>641</v>
      </c>
      <c r="E83" s="13" t="s">
        <v>642</v>
      </c>
      <c r="F83" s="13" t="s">
        <v>643</v>
      </c>
      <c r="G83" s="13" t="s">
        <v>644</v>
      </c>
      <c r="H83" s="15" t="s">
        <v>645</v>
      </c>
      <c r="I83" s="15" t="s">
        <v>593</v>
      </c>
      <c r="J83" s="19" t="s">
        <v>621</v>
      </c>
      <c r="K83" s="15">
        <v>20</v>
      </c>
      <c r="L83" s="19" t="s">
        <v>28</v>
      </c>
      <c r="M83" s="13" t="s">
        <v>646</v>
      </c>
    </row>
    <row r="84" ht="62" customHeight="1" spans="1:13" x14ac:dyDescent="0.25">
      <c r="A84" s="12" t="s">
        <v>647</v>
      </c>
      <c r="B84" s="13" t="s">
        <v>610</v>
      </c>
      <c r="C84" s="13" t="s">
        <v>152</v>
      </c>
      <c r="D84" s="14" t="s">
        <v>648</v>
      </c>
      <c r="E84" s="13" t="s">
        <v>649</v>
      </c>
      <c r="F84" s="13" t="s">
        <v>650</v>
      </c>
      <c r="G84" s="13" t="s">
        <v>651</v>
      </c>
      <c r="H84" s="15" t="s">
        <v>113</v>
      </c>
      <c r="I84" s="15" t="s">
        <v>150</v>
      </c>
      <c r="J84" s="19" t="s">
        <v>621</v>
      </c>
      <c r="K84" s="15">
        <v>32</v>
      </c>
      <c r="L84" s="19" t="s">
        <v>28</v>
      </c>
      <c r="M84" s="13" t="s">
        <v>652</v>
      </c>
    </row>
    <row r="85" ht="24" customHeight="1" spans="1:13" x14ac:dyDescent="0.25">
      <c r="A85" s="23" t="s">
        <v>18</v>
      </c>
      <c r="B85" s="23" t="s">
        <v>18</v>
      </c>
      <c r="C85" s="23" t="s">
        <v>18</v>
      </c>
      <c r="D85" s="23" t="s">
        <v>653</v>
      </c>
      <c r="E85" s="23" t="s">
        <v>18</v>
      </c>
      <c r="F85" s="23" t="s">
        <v>18</v>
      </c>
      <c r="G85" s="23" t="s">
        <v>18</v>
      </c>
      <c r="H85" s="23" t="s">
        <v>18</v>
      </c>
      <c r="I85" s="23" t="s">
        <v>18</v>
      </c>
      <c r="J85" s="23" t="s">
        <v>18</v>
      </c>
      <c r="K85" s="23">
        <f>SUM(K2:K84)</f>
      </c>
      <c r="L85" s="23" t="s">
        <v>18</v>
      </c>
      <c r="M85" s="23" t="s">
        <v>18</v>
      </c>
    </row>
  </sheetData>
  <autoFilter ref="A1:M84"/>
  <dataValidations count="4">
    <dataValidation type="list" sqref="J10:J84">
      <formula1>"P0,P1,P2,P3"</formula1>
    </dataValidation>
    <dataValidation type="list" sqref="J2:J84">
      <formula1>"P0,P1,P2,P3"</formula1>
    </dataValidation>
    <dataValidation type="list" sqref="L10:L84">
      <formula1>"Hoàn thành,Đang làm,Chưa bắt đầu,Tạm dừng,Đã huỷ"</formula1>
    </dataValidation>
    <dataValidation type="list" sqref="L2:L84">
      <formula1>"Hoàn thành,Đang làm,Chưa bắt đầu,Tạm dừng,Đã huỷ"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6" customWidth="1"/>
    <col min="3" max="4" width="16" customWidth="1"/>
    <col min="5" max="5" width="66" customWidth="1"/>
    <col min="6" max="7" width="52" customWidth="1"/>
  </cols>
  <sheetData>
    <row r="1" ht="34" customHeight="1" spans="1:7" x14ac:dyDescent="0.25">
      <c r="A1" s="24" t="s">
        <v>654</v>
      </c>
      <c r="B1" s="24" t="s">
        <v>655</v>
      </c>
      <c r="C1" s="24" t="s">
        <v>656</v>
      </c>
      <c r="D1" s="24" t="s">
        <v>657</v>
      </c>
      <c r="E1" s="24" t="s">
        <v>658</v>
      </c>
      <c r="F1" s="24" t="s">
        <v>659</v>
      </c>
      <c r="G1" s="24" t="s">
        <v>660</v>
      </c>
    </row>
    <row r="2" ht="60" customHeight="1" spans="1:7" x14ac:dyDescent="0.25">
      <c r="A2" s="25" t="s">
        <v>661</v>
      </c>
      <c r="B2" s="26" t="s">
        <v>662</v>
      </c>
      <c r="C2" s="27" t="s">
        <v>89</v>
      </c>
      <c r="D2" s="27" t="s">
        <v>663</v>
      </c>
      <c r="E2" s="28" t="s">
        <v>664</v>
      </c>
      <c r="F2" s="28" t="s">
        <v>665</v>
      </c>
      <c r="G2" s="28" t="s">
        <v>666</v>
      </c>
    </row>
    <row r="3" ht="60" customHeight="1" spans="1:7" x14ac:dyDescent="0.25">
      <c r="A3" s="29" t="s">
        <v>667</v>
      </c>
      <c r="B3" s="30" t="s">
        <v>668</v>
      </c>
      <c r="C3" s="31" t="s">
        <v>669</v>
      </c>
      <c r="D3" s="31" t="s">
        <v>670</v>
      </c>
      <c r="E3" s="32" t="s">
        <v>671</v>
      </c>
      <c r="F3" s="32" t="s">
        <v>672</v>
      </c>
      <c r="G3" s="32" t="s">
        <v>673</v>
      </c>
    </row>
    <row r="4" ht="60" customHeight="1" spans="1:7" x14ac:dyDescent="0.25">
      <c r="A4" s="29" t="s">
        <v>674</v>
      </c>
      <c r="B4" s="30" t="s">
        <v>675</v>
      </c>
      <c r="C4" s="31" t="s">
        <v>676</v>
      </c>
      <c r="D4" s="31" t="s">
        <v>677</v>
      </c>
      <c r="E4" s="32" t="s">
        <v>678</v>
      </c>
      <c r="F4" s="32" t="s">
        <v>679</v>
      </c>
      <c r="G4" s="32" t="s">
        <v>680</v>
      </c>
    </row>
    <row r="5" ht="60" customHeight="1" spans="1:7" x14ac:dyDescent="0.25">
      <c r="A5" s="29" t="s">
        <v>681</v>
      </c>
      <c r="B5" s="30" t="s">
        <v>682</v>
      </c>
      <c r="C5" s="31" t="s">
        <v>683</v>
      </c>
      <c r="D5" s="31" t="s">
        <v>684</v>
      </c>
      <c r="E5" s="32" t="s">
        <v>685</v>
      </c>
      <c r="F5" s="32" t="s">
        <v>686</v>
      </c>
      <c r="G5" s="32" t="s">
        <v>687</v>
      </c>
    </row>
    <row r="6" ht="60" customHeight="1" spans="1:7" x14ac:dyDescent="0.25">
      <c r="A6" s="29" t="s">
        <v>688</v>
      </c>
      <c r="B6" s="30" t="s">
        <v>689</v>
      </c>
      <c r="C6" s="31" t="s">
        <v>690</v>
      </c>
      <c r="D6" s="31" t="s">
        <v>691</v>
      </c>
      <c r="E6" s="32" t="s">
        <v>692</v>
      </c>
      <c r="F6" s="32" t="s">
        <v>693</v>
      </c>
      <c r="G6" s="32" t="s">
        <v>694</v>
      </c>
    </row>
    <row r="7" ht="60" customHeight="1" spans="1:7" x14ac:dyDescent="0.25">
      <c r="A7" s="29" t="s">
        <v>695</v>
      </c>
      <c r="B7" s="30" t="s">
        <v>696</v>
      </c>
      <c r="C7" s="31" t="s">
        <v>697</v>
      </c>
      <c r="D7" s="31" t="s">
        <v>698</v>
      </c>
      <c r="E7" s="32" t="s">
        <v>699</v>
      </c>
      <c r="F7" s="32" t="s">
        <v>700</v>
      </c>
      <c r="G7" s="32" t="s">
        <v>701</v>
      </c>
    </row>
    <row r="8" ht="60" customHeight="1" spans="1:7" x14ac:dyDescent="0.25">
      <c r="A8" s="33" t="s">
        <v>702</v>
      </c>
      <c r="B8" s="34" t="s">
        <v>703</v>
      </c>
      <c r="C8" s="35" t="s">
        <v>704</v>
      </c>
      <c r="D8" s="35" t="s">
        <v>89</v>
      </c>
      <c r="E8" s="36" t="s">
        <v>705</v>
      </c>
      <c r="F8" s="36" t="s">
        <v>706</v>
      </c>
      <c r="G8" s="36" t="s">
        <v>707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4" customWidth="1"/>
    <col min="3" max="3" width="14" customWidth="1"/>
    <col min="4" max="5" width="12" customWidth="1"/>
    <col min="6" max="6" width="16" customWidth="1"/>
    <col min="7" max="7" width="78" customWidth="1"/>
    <col min="8" max="8" width="22" customWidth="1"/>
    <col min="9" max="9" width="16" customWidth="1"/>
  </cols>
  <sheetData>
    <row r="1" ht="34" customHeight="1" spans="1:9" x14ac:dyDescent="0.25">
      <c r="A1" s="37" t="s">
        <v>654</v>
      </c>
      <c r="B1" s="37" t="s">
        <v>708</v>
      </c>
      <c r="C1" s="37" t="s">
        <v>709</v>
      </c>
      <c r="D1" s="37" t="s">
        <v>710</v>
      </c>
      <c r="E1" s="37" t="s">
        <v>711</v>
      </c>
      <c r="F1" s="37" t="s">
        <v>712</v>
      </c>
      <c r="G1" s="37" t="s">
        <v>713</v>
      </c>
      <c r="H1" s="37" t="s">
        <v>714</v>
      </c>
      <c r="I1" s="37" t="s">
        <v>79</v>
      </c>
    </row>
    <row r="2" ht="62" customHeight="1" spans="1:9" x14ac:dyDescent="0.25">
      <c r="A2" s="38" t="s">
        <v>715</v>
      </c>
      <c r="B2" s="32" t="s">
        <v>716</v>
      </c>
      <c r="C2" s="31" t="s">
        <v>165</v>
      </c>
      <c r="D2" s="31" t="s">
        <v>717</v>
      </c>
      <c r="E2" s="31" t="s">
        <v>718</v>
      </c>
      <c r="F2" s="39" t="s">
        <v>719</v>
      </c>
      <c r="G2" s="32" t="s">
        <v>720</v>
      </c>
      <c r="H2" s="32" t="s">
        <v>211</v>
      </c>
      <c r="I2" s="31" t="s">
        <v>721</v>
      </c>
    </row>
    <row r="3" ht="62" customHeight="1" spans="1:9" x14ac:dyDescent="0.25">
      <c r="A3" s="38" t="s">
        <v>722</v>
      </c>
      <c r="B3" s="32" t="s">
        <v>723</v>
      </c>
      <c r="C3" s="31" t="s">
        <v>272</v>
      </c>
      <c r="D3" s="31" t="s">
        <v>724</v>
      </c>
      <c r="E3" s="31" t="s">
        <v>724</v>
      </c>
      <c r="F3" s="40" t="s">
        <v>725</v>
      </c>
      <c r="G3" s="32" t="s">
        <v>726</v>
      </c>
      <c r="H3" s="32" t="s">
        <v>324</v>
      </c>
      <c r="I3" s="31" t="s">
        <v>727</v>
      </c>
    </row>
    <row r="4" ht="62" customHeight="1" spans="1:9" x14ac:dyDescent="0.25">
      <c r="A4" s="38" t="s">
        <v>728</v>
      </c>
      <c r="B4" s="32" t="s">
        <v>729</v>
      </c>
      <c r="C4" s="31" t="s">
        <v>272</v>
      </c>
      <c r="D4" s="31" t="s">
        <v>724</v>
      </c>
      <c r="E4" s="31" t="s">
        <v>717</v>
      </c>
      <c r="F4" s="40" t="s">
        <v>725</v>
      </c>
      <c r="G4" s="32" t="s">
        <v>730</v>
      </c>
      <c r="H4" s="32" t="s">
        <v>731</v>
      </c>
      <c r="I4" s="31" t="s">
        <v>721</v>
      </c>
    </row>
    <row r="5" ht="62" customHeight="1" spans="1:9" x14ac:dyDescent="0.25">
      <c r="A5" s="38" t="s">
        <v>732</v>
      </c>
      <c r="B5" s="32" t="s">
        <v>733</v>
      </c>
      <c r="C5" s="31" t="s">
        <v>734</v>
      </c>
      <c r="D5" s="31" t="s">
        <v>724</v>
      </c>
      <c r="E5" s="31" t="s">
        <v>717</v>
      </c>
      <c r="F5" s="40" t="s">
        <v>725</v>
      </c>
      <c r="G5" s="32" t="s">
        <v>735</v>
      </c>
      <c r="H5" s="32" t="s">
        <v>439</v>
      </c>
      <c r="I5" s="31" t="s">
        <v>727</v>
      </c>
    </row>
    <row r="6" ht="62" customHeight="1" spans="1:9" x14ac:dyDescent="0.25">
      <c r="A6" s="38" t="s">
        <v>736</v>
      </c>
      <c r="B6" s="32" t="s">
        <v>737</v>
      </c>
      <c r="C6" s="31" t="s">
        <v>583</v>
      </c>
      <c r="D6" s="31" t="s">
        <v>717</v>
      </c>
      <c r="E6" s="31" t="s">
        <v>718</v>
      </c>
      <c r="F6" s="39" t="s">
        <v>719</v>
      </c>
      <c r="G6" s="32" t="s">
        <v>738</v>
      </c>
      <c r="H6" s="32" t="s">
        <v>105</v>
      </c>
      <c r="I6" s="31" t="s">
        <v>739</v>
      </c>
    </row>
    <row r="7" ht="62" customHeight="1" spans="1:9" x14ac:dyDescent="0.25">
      <c r="A7" s="38" t="s">
        <v>740</v>
      </c>
      <c r="B7" s="32" t="s">
        <v>741</v>
      </c>
      <c r="C7" s="31" t="s">
        <v>742</v>
      </c>
      <c r="D7" s="31" t="s">
        <v>717</v>
      </c>
      <c r="E7" s="31" t="s">
        <v>717</v>
      </c>
      <c r="F7" s="41" t="s">
        <v>743</v>
      </c>
      <c r="G7" s="32" t="s">
        <v>744</v>
      </c>
      <c r="H7" s="32" t="s">
        <v>113</v>
      </c>
      <c r="I7" s="31" t="s">
        <v>739</v>
      </c>
    </row>
    <row r="8" ht="62" customHeight="1" spans="1:9" x14ac:dyDescent="0.25">
      <c r="A8" s="38" t="s">
        <v>745</v>
      </c>
      <c r="B8" s="32" t="s">
        <v>746</v>
      </c>
      <c r="C8" s="31" t="s">
        <v>272</v>
      </c>
      <c r="D8" s="31" t="s">
        <v>724</v>
      </c>
      <c r="E8" s="31" t="s">
        <v>717</v>
      </c>
      <c r="F8" s="40" t="s">
        <v>725</v>
      </c>
      <c r="G8" s="32" t="s">
        <v>747</v>
      </c>
      <c r="H8" s="32" t="s">
        <v>748</v>
      </c>
      <c r="I8" s="31" t="s">
        <v>721</v>
      </c>
    </row>
    <row r="9" ht="62" customHeight="1" spans="1:9" x14ac:dyDescent="0.25">
      <c r="A9" s="38" t="s">
        <v>749</v>
      </c>
      <c r="B9" s="32" t="s">
        <v>750</v>
      </c>
      <c r="C9" s="31" t="s">
        <v>734</v>
      </c>
      <c r="D9" s="31" t="s">
        <v>751</v>
      </c>
      <c r="E9" s="31" t="s">
        <v>724</v>
      </c>
      <c r="F9" s="41" t="s">
        <v>743</v>
      </c>
      <c r="G9" s="32" t="s">
        <v>752</v>
      </c>
      <c r="H9" s="32" t="s">
        <v>113</v>
      </c>
      <c r="I9" s="31" t="s">
        <v>721</v>
      </c>
    </row>
    <row r="10" ht="62" customHeight="1" spans="1:9" x14ac:dyDescent="0.25">
      <c r="A10" s="38" t="s">
        <v>753</v>
      </c>
      <c r="B10" s="32" t="s">
        <v>754</v>
      </c>
      <c r="C10" s="31" t="s">
        <v>734</v>
      </c>
      <c r="D10" s="31" t="s">
        <v>751</v>
      </c>
      <c r="E10" s="31" t="s">
        <v>724</v>
      </c>
      <c r="F10" s="41" t="s">
        <v>743</v>
      </c>
      <c r="G10" s="32" t="s">
        <v>755</v>
      </c>
      <c r="H10" s="32" t="s">
        <v>439</v>
      </c>
      <c r="I10" s="31" t="s">
        <v>721</v>
      </c>
    </row>
    <row r="11" ht="62" customHeight="1" spans="1:9" x14ac:dyDescent="0.25">
      <c r="A11" s="38" t="s">
        <v>756</v>
      </c>
      <c r="B11" s="32" t="s">
        <v>757</v>
      </c>
      <c r="C11" s="31" t="s">
        <v>583</v>
      </c>
      <c r="D11" s="31" t="s">
        <v>724</v>
      </c>
      <c r="E11" s="31" t="s">
        <v>751</v>
      </c>
      <c r="F11" s="41" t="s">
        <v>743</v>
      </c>
      <c r="G11" s="32" t="s">
        <v>758</v>
      </c>
      <c r="H11" s="32" t="s">
        <v>607</v>
      </c>
      <c r="I11" s="31" t="s">
        <v>759</v>
      </c>
    </row>
    <row r="12" ht="62" customHeight="1" spans="1:9" x14ac:dyDescent="0.25">
      <c r="A12" s="38" t="s">
        <v>760</v>
      </c>
      <c r="B12" s="32" t="s">
        <v>761</v>
      </c>
      <c r="C12" s="31" t="s">
        <v>734</v>
      </c>
      <c r="D12" s="31" t="s">
        <v>717</v>
      </c>
      <c r="E12" s="31" t="s">
        <v>751</v>
      </c>
      <c r="F12" s="42" t="s">
        <v>762</v>
      </c>
      <c r="G12" s="32" t="s">
        <v>763</v>
      </c>
      <c r="H12" s="32" t="s">
        <v>462</v>
      </c>
      <c r="I12" s="31" t="s">
        <v>759</v>
      </c>
    </row>
    <row r="13" ht="62" customHeight="1" spans="1:9" x14ac:dyDescent="0.25">
      <c r="A13" s="38" t="s">
        <v>764</v>
      </c>
      <c r="B13" s="32" t="s">
        <v>765</v>
      </c>
      <c r="C13" s="31" t="s">
        <v>766</v>
      </c>
      <c r="D13" s="31" t="s">
        <v>717</v>
      </c>
      <c r="E13" s="31" t="s">
        <v>724</v>
      </c>
      <c r="F13" s="40" t="s">
        <v>725</v>
      </c>
      <c r="G13" s="32" t="s">
        <v>767</v>
      </c>
      <c r="H13" s="32" t="s">
        <v>607</v>
      </c>
      <c r="I13" s="31" t="s">
        <v>739</v>
      </c>
    </row>
  </sheetData>
  <autoFilter ref="A1:I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86" customWidth="1"/>
    <col min="3" max="3" width="50" customWidth="1"/>
    <col min="4" max="4" width="24" customWidth="1"/>
    <col min="5" max="5" width="18" customWidth="1"/>
    <col min="6" max="6" width="20" customWidth="1"/>
  </cols>
  <sheetData>
    <row r="1" ht="34" customHeight="1" spans="1:6" x14ac:dyDescent="0.25">
      <c r="A1" s="43" t="s">
        <v>654</v>
      </c>
      <c r="B1" s="43" t="s">
        <v>768</v>
      </c>
      <c r="C1" s="43" t="s">
        <v>769</v>
      </c>
      <c r="D1" s="43" t="s">
        <v>770</v>
      </c>
      <c r="E1" s="43" t="s">
        <v>771</v>
      </c>
      <c r="F1" s="43" t="s">
        <v>772</v>
      </c>
    </row>
    <row r="2" ht="56" customHeight="1" spans="1:6" x14ac:dyDescent="0.25">
      <c r="A2" s="29" t="s">
        <v>773</v>
      </c>
      <c r="B2" s="32" t="s">
        <v>774</v>
      </c>
      <c r="C2" s="32" t="s">
        <v>775</v>
      </c>
      <c r="D2" s="32" t="s">
        <v>776</v>
      </c>
      <c r="E2" s="31" t="s">
        <v>777</v>
      </c>
      <c r="F2" s="31" t="s">
        <v>778</v>
      </c>
    </row>
    <row r="3" ht="56" customHeight="1" spans="1:6" x14ac:dyDescent="0.25">
      <c r="A3" s="29" t="s">
        <v>779</v>
      </c>
      <c r="B3" s="32" t="s">
        <v>780</v>
      </c>
      <c r="C3" s="32" t="s">
        <v>781</v>
      </c>
      <c r="D3" s="32" t="s">
        <v>776</v>
      </c>
      <c r="E3" s="31" t="s">
        <v>777</v>
      </c>
      <c r="F3" s="31" t="s">
        <v>782</v>
      </c>
    </row>
    <row r="4" ht="56" customHeight="1" spans="1:6" x14ac:dyDescent="0.25">
      <c r="A4" s="29" t="s">
        <v>783</v>
      </c>
      <c r="B4" s="32" t="s">
        <v>784</v>
      </c>
      <c r="C4" s="32" t="s">
        <v>785</v>
      </c>
      <c r="D4" s="32" t="s">
        <v>786</v>
      </c>
      <c r="E4" s="31" t="s">
        <v>787</v>
      </c>
      <c r="F4" s="31" t="s">
        <v>788</v>
      </c>
    </row>
    <row r="5" ht="56" customHeight="1" spans="1:6" x14ac:dyDescent="0.25">
      <c r="A5" s="29" t="s">
        <v>789</v>
      </c>
      <c r="B5" s="32" t="s">
        <v>790</v>
      </c>
      <c r="C5" s="32" t="s">
        <v>791</v>
      </c>
      <c r="D5" s="32" t="s">
        <v>792</v>
      </c>
      <c r="E5" s="31" t="s">
        <v>793</v>
      </c>
      <c r="F5" s="31" t="s">
        <v>647</v>
      </c>
    </row>
    <row r="6" ht="56" customHeight="1" spans="1:6" x14ac:dyDescent="0.25">
      <c r="A6" s="29" t="s">
        <v>794</v>
      </c>
      <c r="B6" s="32" t="s">
        <v>795</v>
      </c>
      <c r="C6" s="32" t="s">
        <v>796</v>
      </c>
      <c r="D6" s="32" t="s">
        <v>607</v>
      </c>
      <c r="E6" s="31" t="s">
        <v>797</v>
      </c>
      <c r="F6" s="31" t="s">
        <v>798</v>
      </c>
    </row>
    <row r="7" ht="56" customHeight="1" spans="1:6" x14ac:dyDescent="0.25">
      <c r="A7" s="29" t="s">
        <v>799</v>
      </c>
      <c r="B7" s="32" t="s">
        <v>800</v>
      </c>
      <c r="C7" s="32" t="s">
        <v>801</v>
      </c>
      <c r="D7" s="32" t="s">
        <v>802</v>
      </c>
      <c r="E7" s="31" t="s">
        <v>803</v>
      </c>
      <c r="F7" s="31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76" customWidth="1"/>
    <col min="4" max="4" width="66" customWidth="1"/>
    <col min="5" max="5" width="14" customWidth="1"/>
    <col min="6" max="6" width="20" customWidth="1"/>
  </cols>
  <sheetData>
    <row r="1" ht="34" customHeight="1" spans="1:6" x14ac:dyDescent="0.25">
      <c r="A1" s="44" t="s">
        <v>804</v>
      </c>
      <c r="B1" s="44" t="s">
        <v>805</v>
      </c>
      <c r="C1" s="44" t="s">
        <v>806</v>
      </c>
      <c r="D1" s="44" t="s">
        <v>807</v>
      </c>
      <c r="E1" s="44" t="s">
        <v>808</v>
      </c>
      <c r="F1" s="44" t="s">
        <v>809</v>
      </c>
    </row>
    <row r="2" ht="40" customHeight="1" spans="1:6" x14ac:dyDescent="0.25">
      <c r="A2" s="31">
        <v>1</v>
      </c>
      <c r="B2" s="45" t="s">
        <v>810</v>
      </c>
      <c r="C2" s="32" t="s">
        <v>811</v>
      </c>
      <c r="D2" s="32" t="s">
        <v>812</v>
      </c>
      <c r="E2" s="31" t="s">
        <v>18</v>
      </c>
      <c r="F2" s="32" t="s">
        <v>18</v>
      </c>
    </row>
    <row r="3" ht="40" customHeight="1" spans="1:6" x14ac:dyDescent="0.25">
      <c r="A3" s="31">
        <v>2</v>
      </c>
      <c r="B3" s="45" t="s">
        <v>810</v>
      </c>
      <c r="C3" s="32" t="s">
        <v>813</v>
      </c>
      <c r="D3" s="32" t="s">
        <v>814</v>
      </c>
      <c r="E3" s="31" t="s">
        <v>18</v>
      </c>
      <c r="F3" s="32" t="s">
        <v>18</v>
      </c>
    </row>
    <row r="4" ht="40" customHeight="1" spans="1:6" x14ac:dyDescent="0.25">
      <c r="A4" s="31">
        <v>3</v>
      </c>
      <c r="B4" s="45" t="s">
        <v>810</v>
      </c>
      <c r="C4" s="32" t="s">
        <v>815</v>
      </c>
      <c r="D4" s="32" t="s">
        <v>816</v>
      </c>
      <c r="E4" s="31" t="s">
        <v>18</v>
      </c>
      <c r="F4" s="32" t="s">
        <v>18</v>
      </c>
    </row>
    <row r="5" ht="40" customHeight="1" spans="1:6" x14ac:dyDescent="0.25">
      <c r="A5" s="31">
        <v>4</v>
      </c>
      <c r="B5" s="46" t="s">
        <v>817</v>
      </c>
      <c r="C5" s="32" t="s">
        <v>818</v>
      </c>
      <c r="D5" s="32" t="s">
        <v>819</v>
      </c>
      <c r="E5" s="31" t="s">
        <v>18</v>
      </c>
      <c r="F5" s="32" t="s">
        <v>18</v>
      </c>
    </row>
    <row r="6" ht="40" customHeight="1" spans="1:6" x14ac:dyDescent="0.25">
      <c r="A6" s="31">
        <v>5</v>
      </c>
      <c r="B6" s="46" t="s">
        <v>817</v>
      </c>
      <c r="C6" s="32" t="s">
        <v>820</v>
      </c>
      <c r="D6" s="32" t="s">
        <v>821</v>
      </c>
      <c r="E6" s="31" t="s">
        <v>18</v>
      </c>
      <c r="F6" s="32" t="s">
        <v>18</v>
      </c>
    </row>
    <row r="7" ht="40" customHeight="1" spans="1:6" x14ac:dyDescent="0.25">
      <c r="A7" s="31">
        <v>6</v>
      </c>
      <c r="B7" s="46" t="s">
        <v>817</v>
      </c>
      <c r="C7" s="32" t="s">
        <v>822</v>
      </c>
      <c r="D7" s="32" t="s">
        <v>823</v>
      </c>
      <c r="E7" s="31" t="s">
        <v>18</v>
      </c>
      <c r="F7" s="32" t="s">
        <v>18</v>
      </c>
    </row>
    <row r="8" ht="40" customHeight="1" spans="1:6" x14ac:dyDescent="0.25">
      <c r="A8" s="31">
        <v>7</v>
      </c>
      <c r="B8" s="46" t="s">
        <v>817</v>
      </c>
      <c r="C8" s="32" t="s">
        <v>824</v>
      </c>
      <c r="D8" s="32" t="s">
        <v>825</v>
      </c>
      <c r="E8" s="31" t="s">
        <v>18</v>
      </c>
      <c r="F8" s="32" t="s">
        <v>18</v>
      </c>
    </row>
    <row r="9" ht="40" customHeight="1" spans="1:6" x14ac:dyDescent="0.25">
      <c r="A9" s="31">
        <v>8</v>
      </c>
      <c r="B9" s="46" t="s">
        <v>826</v>
      </c>
      <c r="C9" s="32" t="s">
        <v>827</v>
      </c>
      <c r="D9" s="32" t="s">
        <v>828</v>
      </c>
      <c r="E9" s="31" t="s">
        <v>18</v>
      </c>
      <c r="F9" s="32" t="s">
        <v>18</v>
      </c>
    </row>
    <row r="10" ht="40" customHeight="1" spans="1:6" x14ac:dyDescent="0.25">
      <c r="A10" s="31">
        <v>9</v>
      </c>
      <c r="B10" s="46" t="s">
        <v>829</v>
      </c>
      <c r="C10" s="32" t="s">
        <v>830</v>
      </c>
      <c r="D10" s="32" t="s">
        <v>831</v>
      </c>
      <c r="E10" s="31" t="s">
        <v>18</v>
      </c>
      <c r="F10" s="32" t="s">
        <v>18</v>
      </c>
    </row>
    <row r="11" ht="40" customHeight="1" spans="1:6" x14ac:dyDescent="0.25">
      <c r="A11" s="31">
        <v>10</v>
      </c>
      <c r="B11" s="46" t="s">
        <v>832</v>
      </c>
      <c r="C11" s="32" t="s">
        <v>833</v>
      </c>
      <c r="D11" s="32" t="s">
        <v>834</v>
      </c>
      <c r="E11" s="31" t="s">
        <v>18</v>
      </c>
      <c r="F11" s="32" t="s">
        <v>18</v>
      </c>
    </row>
    <row r="12" ht="40" customHeight="1" spans="1:6" x14ac:dyDescent="0.25">
      <c r="A12" s="31">
        <v>11</v>
      </c>
      <c r="B12" s="46" t="s">
        <v>835</v>
      </c>
      <c r="C12" s="32" t="s">
        <v>836</v>
      </c>
      <c r="D12" s="32" t="s">
        <v>837</v>
      </c>
      <c r="E12" s="31" t="s">
        <v>18</v>
      </c>
      <c r="F12" s="32" t="s">
        <v>18</v>
      </c>
    </row>
    <row r="13" ht="40" customHeight="1" spans="1:6" x14ac:dyDescent="0.25">
      <c r="A13" s="31">
        <v>12</v>
      </c>
      <c r="B13" s="46" t="s">
        <v>835</v>
      </c>
      <c r="C13" s="32" t="s">
        <v>838</v>
      </c>
      <c r="D13" s="32" t="s">
        <v>839</v>
      </c>
      <c r="E13" s="31" t="s">
        <v>18</v>
      </c>
      <c r="F13" s="32" t="s">
        <v>18</v>
      </c>
    </row>
    <row r="14" ht="40" customHeight="1" spans="1:6" x14ac:dyDescent="0.25">
      <c r="A14" s="31">
        <v>13</v>
      </c>
      <c r="B14" s="46" t="s">
        <v>835</v>
      </c>
      <c r="C14" s="32" t="s">
        <v>840</v>
      </c>
      <c r="D14" s="32" t="s">
        <v>841</v>
      </c>
      <c r="E14" s="31" t="s">
        <v>18</v>
      </c>
      <c r="F14" s="32" t="s">
        <v>18</v>
      </c>
    </row>
    <row r="15" ht="40" customHeight="1" spans="1:6" x14ac:dyDescent="0.25">
      <c r="A15" s="31">
        <v>14</v>
      </c>
      <c r="B15" s="45" t="s">
        <v>742</v>
      </c>
      <c r="C15" s="32" t="s">
        <v>842</v>
      </c>
      <c r="D15" s="32" t="s">
        <v>843</v>
      </c>
      <c r="E15" s="31" t="s">
        <v>18</v>
      </c>
      <c r="F15" s="32" t="s">
        <v>18</v>
      </c>
    </row>
    <row r="16" ht="40" customHeight="1" spans="1:6" x14ac:dyDescent="0.25">
      <c r="A16" s="31">
        <v>15</v>
      </c>
      <c r="B16" s="45" t="s">
        <v>742</v>
      </c>
      <c r="C16" s="32" t="s">
        <v>844</v>
      </c>
      <c r="D16" s="32" t="s">
        <v>845</v>
      </c>
      <c r="E16" s="31" t="s">
        <v>18</v>
      </c>
      <c r="F16" s="32" t="s">
        <v>18</v>
      </c>
    </row>
    <row r="17" ht="40" customHeight="1" spans="1:6" x14ac:dyDescent="0.25">
      <c r="A17" s="31">
        <v>16</v>
      </c>
      <c r="B17" s="45" t="s">
        <v>742</v>
      </c>
      <c r="C17" s="32" t="s">
        <v>846</v>
      </c>
      <c r="D17" s="32" t="s">
        <v>847</v>
      </c>
      <c r="E17" s="31" t="s">
        <v>18</v>
      </c>
      <c r="F17" s="32" t="s">
        <v>18</v>
      </c>
    </row>
    <row r="18" ht="40" customHeight="1" spans="1:6" x14ac:dyDescent="0.25">
      <c r="A18" s="31">
        <v>17</v>
      </c>
      <c r="B18" s="45" t="s">
        <v>848</v>
      </c>
      <c r="C18" s="32" t="s">
        <v>849</v>
      </c>
      <c r="D18" s="32" t="s">
        <v>850</v>
      </c>
      <c r="E18" s="31" t="s">
        <v>18</v>
      </c>
      <c r="F18" s="32" t="s">
        <v>18</v>
      </c>
    </row>
    <row r="19" ht="40" customHeight="1" spans="1:6" x14ac:dyDescent="0.25">
      <c r="A19" s="31">
        <v>18</v>
      </c>
      <c r="B19" s="45" t="s">
        <v>848</v>
      </c>
      <c r="C19" s="32" t="s">
        <v>851</v>
      </c>
      <c r="D19" s="32" t="s">
        <v>852</v>
      </c>
      <c r="E19" s="31" t="s">
        <v>18</v>
      </c>
      <c r="F19" s="32" t="s">
        <v>18</v>
      </c>
    </row>
    <row r="20" ht="40" customHeight="1" spans="1:6" x14ac:dyDescent="0.25">
      <c r="A20" s="31">
        <v>19</v>
      </c>
      <c r="B20" s="45" t="s">
        <v>848</v>
      </c>
      <c r="C20" s="32" t="s">
        <v>853</v>
      </c>
      <c r="D20" s="32" t="s">
        <v>854</v>
      </c>
      <c r="E20" s="31" t="s">
        <v>18</v>
      </c>
      <c r="F20" s="32" t="s">
        <v>18</v>
      </c>
    </row>
    <row r="21" ht="40" customHeight="1" spans="1:6" x14ac:dyDescent="0.25">
      <c r="A21" s="31">
        <v>20</v>
      </c>
      <c r="B21" s="45" t="s">
        <v>848</v>
      </c>
      <c r="C21" s="32" t="s">
        <v>855</v>
      </c>
      <c r="D21" s="32" t="s">
        <v>856</v>
      </c>
      <c r="E21" s="31" t="s">
        <v>18</v>
      </c>
      <c r="F21" s="32" t="s">
        <v>18</v>
      </c>
    </row>
    <row r="22" ht="40" customHeight="1" spans="1:6" x14ac:dyDescent="0.25">
      <c r="A22" s="31">
        <v>21</v>
      </c>
      <c r="B22" s="45" t="s">
        <v>427</v>
      </c>
      <c r="C22" s="32" t="s">
        <v>857</v>
      </c>
      <c r="D22" s="32" t="s">
        <v>858</v>
      </c>
      <c r="E22" s="31" t="s">
        <v>18</v>
      </c>
      <c r="F22" s="32" t="s">
        <v>18</v>
      </c>
    </row>
    <row r="23" ht="40" customHeight="1" spans="1:6" x14ac:dyDescent="0.25">
      <c r="A23" s="31">
        <v>22</v>
      </c>
      <c r="B23" s="45" t="s">
        <v>427</v>
      </c>
      <c r="C23" s="32" t="s">
        <v>859</v>
      </c>
      <c r="D23" s="32" t="s">
        <v>860</v>
      </c>
      <c r="E23" s="31" t="s">
        <v>18</v>
      </c>
      <c r="F23" s="32" t="s">
        <v>18</v>
      </c>
    </row>
    <row r="24" ht="40" customHeight="1" spans="1:6" x14ac:dyDescent="0.25">
      <c r="A24" s="31">
        <v>23</v>
      </c>
      <c r="B24" s="45" t="s">
        <v>583</v>
      </c>
      <c r="C24" s="32" t="s">
        <v>861</v>
      </c>
      <c r="D24" s="32" t="s">
        <v>862</v>
      </c>
      <c r="E24" s="31" t="s">
        <v>18</v>
      </c>
      <c r="F24" s="32" t="s">
        <v>18</v>
      </c>
    </row>
    <row r="25" ht="40" customHeight="1" spans="1:6" x14ac:dyDescent="0.25">
      <c r="A25" s="31">
        <v>24</v>
      </c>
      <c r="B25" s="45" t="s">
        <v>583</v>
      </c>
      <c r="C25" s="32" t="s">
        <v>863</v>
      </c>
      <c r="D25" s="32" t="s">
        <v>864</v>
      </c>
      <c r="E25" s="31" t="s">
        <v>18</v>
      </c>
      <c r="F25" s="32" t="s">
        <v>18</v>
      </c>
    </row>
    <row r="26" ht="40" customHeight="1" spans="1:6" x14ac:dyDescent="0.25">
      <c r="A26" s="31">
        <v>25</v>
      </c>
      <c r="B26" s="45" t="s">
        <v>583</v>
      </c>
      <c r="C26" s="32" t="s">
        <v>865</v>
      </c>
      <c r="D26" s="32" t="s">
        <v>866</v>
      </c>
      <c r="E26" s="31" t="s">
        <v>18</v>
      </c>
      <c r="F26" s="32" t="s">
        <v>18</v>
      </c>
    </row>
    <row r="27" ht="40" customHeight="1" spans="1:6" x14ac:dyDescent="0.25">
      <c r="A27" s="31">
        <v>26</v>
      </c>
      <c r="B27" s="45" t="s">
        <v>867</v>
      </c>
      <c r="C27" s="32" t="s">
        <v>868</v>
      </c>
      <c r="D27" s="32" t="s">
        <v>869</v>
      </c>
      <c r="E27" s="31" t="s">
        <v>18</v>
      </c>
      <c r="F27" s="32" t="s">
        <v>18</v>
      </c>
    </row>
    <row r="28" ht="40" customHeight="1" spans="1:6" x14ac:dyDescent="0.25">
      <c r="A28" s="31">
        <v>27</v>
      </c>
      <c r="B28" s="45" t="s">
        <v>867</v>
      </c>
      <c r="C28" s="32" t="s">
        <v>870</v>
      </c>
      <c r="D28" s="32" t="s">
        <v>871</v>
      </c>
      <c r="E28" s="31" t="s">
        <v>18</v>
      </c>
      <c r="F28" s="32" t="s">
        <v>18</v>
      </c>
    </row>
    <row r="29" ht="40" customHeight="1" spans="1:6" x14ac:dyDescent="0.25">
      <c r="A29" s="31">
        <v>28</v>
      </c>
      <c r="B29" s="45" t="s">
        <v>602</v>
      </c>
      <c r="C29" s="32" t="s">
        <v>872</v>
      </c>
      <c r="D29" s="32" t="s">
        <v>873</v>
      </c>
      <c r="E29" s="31" t="s">
        <v>18</v>
      </c>
      <c r="F29" s="32" t="s">
        <v>18</v>
      </c>
    </row>
  </sheetData>
  <autoFilter ref="A1:F29"/>
  <dataValidations count="2">
    <dataValidation type="list" allowBlank="1" sqref="E10:E29">
      <formula1>"Đạt,Không đạt,Chưa kiểm"</formula1>
    </dataValidation>
    <dataValidation type="list" allowBlank="1" sqref="E2:E29">
      <formula1>"Đạt,Không đạt,Chưa kiểm"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quan</vt:lpstr>
      <vt:lpstr>Kế hoạch task</vt:lpstr>
      <vt:lpstr>Lộ trình Sprint</vt:lpstr>
      <vt:lpstr>Rủi ro</vt:lpstr>
      <vt:lpstr>Vấn đề đang mở</vt:lpstr>
      <vt:lpstr>Checklist nghiệm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FCare — Ban quản trị dự án</dc:creator>
  <dc:title/>
  <dc:subject/>
  <dc:description/>
  <cp:keywords/>
  <cp:category/>
  <cp:lastModifiedBy>Unknown</cp:lastModifiedBy>
  <dcterms:created xsi:type="dcterms:W3CDTF">2026-09-04T00:00:00Z</dcterms:created>
  <dcterms:modified xsi:type="dcterms:W3CDTF">2026-09-04T07:23:55Z</dcterms:modified>
</cp:coreProperties>
</file>